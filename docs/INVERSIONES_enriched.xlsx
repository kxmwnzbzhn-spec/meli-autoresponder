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FOLIO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3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8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6100"/>
      <sz val="14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Consolas"/>
      <charset val="1"/>
      <family val="0"/>
      <sz val="9"/>
    </font>
    <font>
      <name val="Arial"/>
      <charset val="1"/>
      <family val="0"/>
      <color rgb="FFC00000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color rgb="FF006100"/>
      <sz val="11"/>
    </font>
    <font>
      <name val="Arial"/>
      <charset val="1"/>
      <family val="0"/>
      <color rgb="FF0563C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9C57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i val="1"/>
      <color rgb="FF999999"/>
      <sz val="10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11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999999"/>
      <sz val="11"/>
    </font>
    <font>
      <name val="Arial"/>
      <charset val="1"/>
      <family val="0"/>
      <sz val="10"/>
    </font>
    <font>
      <name val="Consolas"/>
      <charset val="1"/>
      <family val="0"/>
      <color rgb="FF595959"/>
      <sz val="9"/>
    </font>
    <font>
      <name val="Arial"/>
      <charset val="1"/>
      <family val="0"/>
      <color rgb="FF999999"/>
      <sz val="10"/>
    </font>
    <font>
      <name val="Consolas"/>
      <charset val="1"/>
      <family val="0"/>
      <b val="1"/>
      <sz val="10"/>
    </font>
    <font>
      <name val="Consolas"/>
      <charset val="1"/>
      <family val="0"/>
      <sz val="10"/>
    </font>
    <font>
      <name val="Arial"/>
      <charset val="1"/>
      <family val="0"/>
      <b val="1"/>
      <i val="1"/>
      <color rgb="FF006100"/>
      <sz val="10"/>
    </font>
  </fonts>
  <fills count="12">
    <fill>
      <patternFill/>
    </fill>
    <fill>
      <patternFill patternType="gray125"/>
    </fill>
    <fill>
      <patternFill patternType="solid">
        <fgColor rgb="FF4472C4"/>
        <bgColor rgb="FF0563C1"/>
      </patternFill>
    </fill>
    <fill>
      <patternFill patternType="solid">
        <fgColor rgb="FFC6EFCE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FEFEF"/>
      </patternFill>
    </fill>
    <fill>
      <patternFill patternType="solid">
        <fgColor rgb="FFFFCCCC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595959"/>
        <bgColor rgb="FF375623"/>
      </patternFill>
    </fill>
    <fill>
      <patternFill patternType="solid">
        <fgColor rgb="FFC65911"/>
        <bgColor rgb="FF9C570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/>
      <right style="medium"/>
      <top style="medium"/>
      <bottom style="medium"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center" vertical="bottom"/>
    </xf>
    <xf numFmtId="164" fontId="9" fillId="4" borderId="0" applyAlignment="1" pivotButton="0" quotePrefix="0" xfId="0">
      <alignment horizontal="center" vertical="bottom"/>
    </xf>
    <xf numFmtId="0" fontId="10" fillId="5" borderId="1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5" fillId="3" borderId="1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15" fillId="3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8" fillId="6" borderId="1" applyAlignment="1" pivotButton="0" quotePrefix="0" xfId="0">
      <alignment horizontal="general" vertical="bottom"/>
    </xf>
    <xf numFmtId="0" fontId="19" fillId="7" borderId="1" applyAlignment="1" pivotButton="0" quotePrefix="0" xfId="0">
      <alignment horizontal="general" vertical="bottom"/>
    </xf>
    <xf numFmtId="164" fontId="20" fillId="0" borderId="1" applyAlignment="1" pivotButton="0" quotePrefix="0" xfId="0">
      <alignment horizontal="general" vertical="bottom"/>
    </xf>
    <xf numFmtId="0" fontId="20" fillId="8" borderId="1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6" fillId="9" borderId="2" applyAlignment="1" pivotButton="0" quotePrefix="0" xfId="0">
      <alignment horizontal="general" vertical="bottom"/>
    </xf>
    <xf numFmtId="0" fontId="21" fillId="9" borderId="2" applyAlignment="1" pivotButton="0" quotePrefix="0" xfId="0">
      <alignment horizontal="general" vertical="bottom"/>
    </xf>
    <xf numFmtId="164" fontId="22" fillId="4" borderId="2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9" fillId="4" borderId="2" applyAlignment="1" pivotButton="0" quotePrefix="0" xfId="0">
      <alignment horizontal="general" vertical="bottom"/>
    </xf>
    <xf numFmtId="0" fontId="23" fillId="4" borderId="2" applyAlignment="1" pivotButton="0" quotePrefix="0" xfId="0">
      <alignment horizontal="general" vertical="bottom"/>
    </xf>
    <xf numFmtId="164" fontId="24" fillId="4" borderId="2" applyAlignment="1" pivotButton="0" quotePrefix="0" xfId="0">
      <alignment horizontal="right" vertical="center"/>
    </xf>
    <xf numFmtId="0" fontId="6" fillId="1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26" fillId="0" borderId="1" applyAlignment="1" pivotButton="0" quotePrefix="0" xfId="0">
      <alignment horizontal="general" vertical="bottom"/>
    </xf>
    <xf numFmtId="164" fontId="20" fillId="8" borderId="1" applyAlignment="1" pivotButton="0" quotePrefix="0" xfId="0">
      <alignment horizontal="general" vertical="bottom"/>
    </xf>
    <xf numFmtId="0" fontId="5" fillId="8" borderId="1" applyAlignment="1" pivotButton="0" quotePrefix="0" xfId="0">
      <alignment horizontal="general" vertical="bottom"/>
    </xf>
    <xf numFmtId="0" fontId="6" fillId="11" borderId="0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center" vertical="bottom"/>
    </xf>
    <xf numFmtId="164" fontId="9" fillId="4" borderId="0" applyAlignment="1" pivotButton="0" quotePrefix="0" xfId="0">
      <alignment horizontal="center" vertical="bottom"/>
    </xf>
    <xf numFmtId="0" fontId="10" fillId="5" borderId="1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5" fillId="3" borderId="1" applyAlignment="1" pivotButton="0" quotePrefix="0" xfId="0">
      <alignment horizontal="general" vertical="bottom"/>
    </xf>
    <xf numFmtId="0" fontId="1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8" fillId="6" borderId="1" applyAlignment="1" pivotButton="0" quotePrefix="0" xfId="0">
      <alignment horizontal="general" vertical="bottom"/>
    </xf>
    <xf numFmtId="0" fontId="19" fillId="7" borderId="1" applyAlignment="1" pivotButton="0" quotePrefix="0" xfId="0">
      <alignment horizontal="general" vertical="bottom"/>
    </xf>
    <xf numFmtId="164" fontId="20" fillId="0" borderId="1" applyAlignment="1" pivotButton="0" quotePrefix="0" xfId="0">
      <alignment horizontal="general" vertical="bottom"/>
    </xf>
    <xf numFmtId="0" fontId="20" fillId="8" borderId="1" applyAlignment="1" pivotButton="0" quotePrefix="0" xfId="0">
      <alignment horizontal="general" vertical="bottom"/>
    </xf>
    <xf numFmtId="0" fontId="0" fillId="9" borderId="2" applyAlignment="1" pivotButton="0" quotePrefix="0" xfId="0">
      <alignment horizontal="general" vertical="bottom"/>
    </xf>
    <xf numFmtId="0" fontId="6" fillId="9" borderId="2" applyAlignment="1" pivotButton="0" quotePrefix="0" xfId="0">
      <alignment horizontal="general" vertical="bottom"/>
    </xf>
    <xf numFmtId="0" fontId="21" fillId="9" borderId="2" applyAlignment="1" pivotButton="0" quotePrefix="0" xfId="0">
      <alignment horizontal="general" vertical="bottom"/>
    </xf>
    <xf numFmtId="164" fontId="22" fillId="4" borderId="2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4" borderId="2" applyAlignment="1" pivotButton="0" quotePrefix="0" xfId="0">
      <alignment horizontal="general" vertical="bottom"/>
    </xf>
    <xf numFmtId="0" fontId="9" fillId="4" borderId="2" applyAlignment="1" pivotButton="0" quotePrefix="0" xfId="0">
      <alignment horizontal="general" vertical="bottom"/>
    </xf>
    <xf numFmtId="0" fontId="23" fillId="4" borderId="2" applyAlignment="1" pivotButton="0" quotePrefix="0" xfId="0">
      <alignment horizontal="general" vertical="bottom"/>
    </xf>
    <xf numFmtId="164" fontId="24" fillId="4" borderId="2" applyAlignment="1" pivotButton="0" quotePrefix="0" xfId="0">
      <alignment horizontal="right" vertical="center"/>
    </xf>
    <xf numFmtId="0" fontId="6" fillId="1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26" fillId="0" borderId="1" applyAlignment="1" pivotButton="0" quotePrefix="0" xfId="0">
      <alignment horizontal="general" vertical="bottom"/>
    </xf>
    <xf numFmtId="164" fontId="20" fillId="8" borderId="1" applyAlignment="1" pivotButton="0" quotePrefix="0" xfId="0">
      <alignment horizontal="general" vertical="bottom"/>
    </xf>
    <xf numFmtId="0" fontId="5" fillId="8" borderId="1" applyAlignment="1" pivotButton="0" quotePrefix="0" xfId="0">
      <alignment horizontal="general" vertical="bottom"/>
    </xf>
    <xf numFmtId="0" fontId="6" fillId="11" borderId="0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FEFE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C65911"/>
      <rgbColor rgb="FF595959"/>
      <rgbColor rgb="FF999999"/>
      <rgbColor rgb="FF003366"/>
      <rgbColor rgb="FF00B050"/>
      <rgbColor rgb="FF003300"/>
      <rgbColor rgb="FF333300"/>
      <rgbColor rgb="FF9C5700"/>
      <rgbColor rgb="FF993366"/>
      <rgbColor rgb="FF1F4E78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84"/>
  <sheetViews>
    <sheetView showFormulas="0" showGridLines="0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E32" activeCellId="0" sqref="E32"/>
    </sheetView>
  </sheetViews>
  <sheetFormatPr baseColWidth="8" defaultColWidth="8.6796875" defaultRowHeight="16.5" customHeight="0" zeroHeight="0" outlineLevelRow="0"/>
  <cols>
    <col width="5" customWidth="1" style="46" min="1" max="1"/>
    <col width="22" customWidth="1" style="46" min="2" max="3"/>
    <col width="30" customWidth="1" style="46" min="4" max="4"/>
    <col width="18" customWidth="1" style="46" min="5" max="6"/>
    <col width="20.87" customWidth="1" style="46" min="7" max="7"/>
    <col width="18.25" customWidth="1" style="46" min="8" max="8"/>
    <col width="14" customWidth="1" style="46" min="9" max="9"/>
    <col width="40" customWidth="1" style="46" min="10" max="10"/>
  </cols>
  <sheetData>
    <row r="1" ht="31.5" customHeight="1" s="47">
      <c r="A1" s="48" t="inlineStr">
        <is>
          <t>PORTAFOLIO ELITE MARKET — Estado al 16/05/2026 15:50 CDMX</t>
        </is>
      </c>
    </row>
    <row r="2" ht="15" customHeight="1" s="47">
      <c r="A2" s="49" t="inlineStr">
        <is>
          <t>The Alchemia Lab · Capital consolidado · Documento confidencial</t>
        </is>
      </c>
    </row>
    <row r="4" ht="24" customHeight="1" s="47">
      <c r="A4" s="50" t="inlineStr">
        <is>
          <t>RESUMEN EJECUTIVO</t>
        </is>
      </c>
    </row>
    <row r="6" ht="15" customHeight="1" s="47">
      <c r="B6" s="51" t="inlineStr">
        <is>
          <t>TOTAL MELI</t>
        </is>
      </c>
      <c r="D6" s="51" t="inlineStr">
        <is>
          <t>TOTAL INVERSIONES &amp; BANCO</t>
        </is>
      </c>
      <c r="F6" s="51" t="inlineStr">
        <is>
          <t>TOTAL EFECTIVO</t>
        </is>
      </c>
      <c r="H6" s="51" t="inlineStr">
        <is>
          <t>GRAN TOTAL</t>
        </is>
      </c>
    </row>
    <row r="7" ht="30" customHeight="1" s="47">
      <c r="B7" s="52">
        <f>G24</f>
        <v/>
      </c>
      <c r="D7" s="52">
        <f>E32</f>
        <v/>
      </c>
      <c r="F7" s="52">
        <f>E37</f>
        <v/>
      </c>
      <c r="H7" s="53">
        <f>G39</f>
        <v/>
      </c>
    </row>
    <row r="10" ht="21.75" customHeight="1" s="47">
      <c r="A10" s="50" t="inlineStr">
        <is>
          <t>A) MELI ELITE MARKET — Saldos MP confirmados</t>
        </is>
      </c>
    </row>
    <row r="11" ht="33.75" customHeight="1" s="47">
      <c r="A11" s="54" t="inlineStr">
        <is>
          <t>#</t>
        </is>
      </c>
      <c r="B11" s="54" t="inlineStr">
        <is>
          <t>Cuenta</t>
        </is>
      </c>
      <c r="C11" s="54" t="inlineStr">
        <is>
          <t>Nick MELI</t>
        </is>
      </c>
      <c r="D11" s="54" t="inlineStr">
        <is>
          <t>Email</t>
        </is>
      </c>
      <c r="E11" s="54" t="inlineStr">
        <is>
          <t>Teléfono</t>
        </is>
      </c>
      <c r="F11" s="54" t="inlineStr">
        <is>
          <t>Celular/Equipo</t>
        </is>
      </c>
      <c r="G11" s="54" t="inlineStr">
        <is>
          <t>Saldo MP</t>
        </is>
      </c>
      <c r="H11" s="54" t="inlineStr">
        <is>
          <t>Estado</t>
        </is>
      </c>
      <c r="I11" s="54" t="inlineStr">
        <is>
          <t>Origen</t>
        </is>
      </c>
      <c r="J11" s="54" t="inlineStr">
        <is>
          <t>Notas</t>
        </is>
      </c>
    </row>
    <row r="12" ht="15" customHeight="1" s="47">
      <c r="A12" s="55" t="n">
        <v>1</v>
      </c>
      <c r="B12" s="56" t="inlineStr">
        <is>
          <t>Raymundo</t>
        </is>
      </c>
      <c r="C12" s="57" t="inlineStr">
        <is>
          <t>RG20260415180857</t>
        </is>
      </c>
      <c r="D12" s="58" t="inlineStr">
        <is>
          <t>enviamesantacruz1@gmail.com</t>
        </is>
      </c>
      <c r="E12" s="58" t="inlineStr">
        <is>
          <t>?</t>
        </is>
      </c>
      <c r="F12" s="59" t="inlineStr">
        <is>
          <t>?</t>
        </is>
      </c>
      <c r="G12" s="60" t="n">
        <v>23370</v>
      </c>
      <c r="H12" s="61" t="inlineStr">
        <is>
          <t>ACTIVO</t>
        </is>
      </c>
      <c r="I12" s="62" t="inlineStr">
        <is>
          <t>snapshot 5-may</t>
        </is>
      </c>
      <c r="J12" s="62" t="inlineStr">
        <is>
          <t>v3 15-may 23:00 | email actualizado 2026-05-17 (Raymundo Santa Cruz)</t>
        </is>
      </c>
    </row>
    <row r="13" ht="15" customHeight="1" s="47">
      <c r="A13" s="55" t="n">
        <v>2</v>
      </c>
      <c r="B13" s="56" t="inlineStr">
        <is>
          <t>Wilbert</t>
        </is>
      </c>
      <c r="C13" s="57" t="inlineStr">
        <is>
          <t>WW20260428194151</t>
        </is>
      </c>
      <c r="D13" s="58" t="inlineStr">
        <is>
          <t>ventas.meli017@gmail.com</t>
        </is>
      </c>
      <c r="E13" s="58" t="inlineStr">
        <is>
          <t>?</t>
        </is>
      </c>
      <c r="F13" s="59" t="inlineStr">
        <is>
          <t>?</t>
        </is>
      </c>
      <c r="G13" s="60" t="n">
        <v>867994</v>
      </c>
      <c r="H13" s="61" t="inlineStr">
        <is>
          <t>ACTIVO</t>
        </is>
      </c>
      <c r="I13" s="62" t="inlineStr">
        <is>
          <t>snapshot 11-may</t>
        </is>
      </c>
      <c r="J13" s="62" t="inlineStr">
        <is>
          <t>Snapshot real Sr. Luis 15-may 23:00 — nuevo ancla | email actualizado 2026-05-17 (Wilbert De Jesus Torres)</t>
        </is>
      </c>
    </row>
    <row r="14" ht="15" customHeight="1" s="47">
      <c r="A14" s="55" t="n">
        <v>3</v>
      </c>
      <c r="B14" s="56" t="inlineStr">
        <is>
          <t>Juan</t>
        </is>
      </c>
      <c r="C14" s="57" t="inlineStr">
        <is>
          <t>HFCBHDGAE33468</t>
        </is>
      </c>
      <c r="D14" s="58" t="inlineStr">
        <is>
          <t>ventas.meli001@gmail.com</t>
        </is>
      </c>
      <c r="E14" s="58" t="inlineStr">
        <is>
          <t>?</t>
        </is>
      </c>
      <c r="F14" s="59" t="inlineStr">
        <is>
          <t>?</t>
        </is>
      </c>
      <c r="G14" s="60" t="n">
        <v>12752.11</v>
      </c>
      <c r="H14" s="61" t="inlineStr">
        <is>
          <t>ACTIVO</t>
        </is>
      </c>
      <c r="I14" s="62" t="inlineStr">
        <is>
          <t>ancla 5-may + delta</t>
        </is>
      </c>
      <c r="J14" s="62" t="inlineStr">
        <is>
          <t>v3 15-may 23:00 | email actualizado 2026-05-17 (Juan Moreno Pedraza)</t>
        </is>
      </c>
    </row>
    <row r="15" ht="15" customHeight="1" s="47">
      <c r="A15" s="55" t="n">
        <v>4</v>
      </c>
      <c r="B15" s="56" t="inlineStr">
        <is>
          <t>Raymundo May Chi</t>
        </is>
      </c>
      <c r="C15" s="57" t="inlineStr">
        <is>
          <t>RM20260326141639</t>
        </is>
      </c>
      <c r="D15" s="63" t="inlineStr">
        <is>
          <t>ventas.meli011@gmail.com</t>
        </is>
      </c>
      <c r="E15" s="64" t="inlineStr">
        <is>
          <t>4498195345</t>
        </is>
      </c>
      <c r="F15" s="59" t="inlineStr">
        <is>
          <t>iPhone negro</t>
        </is>
      </c>
      <c r="G15" s="60" t="n">
        <v>78266.45</v>
      </c>
      <c r="H15" s="65" t="inlineStr">
        <is>
          <t>PAUSADA</t>
        </is>
      </c>
      <c r="I15" s="62" t="inlineStr">
        <is>
          <t>snapshot 7-may</t>
        </is>
      </c>
      <c r="J15" s="62" t="inlineStr">
        <is>
          <t>v3 15-may 23:00</t>
        </is>
      </c>
    </row>
    <row r="16" ht="15" customHeight="1" s="47">
      <c r="A16" s="55" t="n">
        <v>5</v>
      </c>
      <c r="B16" s="56" t="inlineStr">
        <is>
          <t>Ángel Damián</t>
        </is>
      </c>
      <c r="C16" s="57" t="inlineStr">
        <is>
          <t>AN20251122121541</t>
        </is>
      </c>
      <c r="D16" s="63" t="inlineStr">
        <is>
          <t>ventas.meli0007@gmail.com</t>
        </is>
      </c>
      <c r="E16" s="64" t="inlineStr">
        <is>
          <t>6463866760</t>
        </is>
      </c>
      <c r="F16" s="59" t="inlineStr">
        <is>
          <t>iPhone roto</t>
        </is>
      </c>
      <c r="G16" s="60" t="n">
        <v>57796</v>
      </c>
      <c r="H16" s="66" t="inlineStr">
        <is>
          <t>RIESGO</t>
        </is>
      </c>
      <c r="I16" s="62" t="inlineStr">
        <is>
          <t>post-retiros</t>
        </is>
      </c>
      <c r="J16" s="62" t="inlineStr">
        <is>
          <t>v3 15-may 23:00 | email actualizado 2026-05-17 (Angel Nahuat) | email previo restaurado (OAuth pendiente para token actual)</t>
        </is>
      </c>
    </row>
    <row r="17" ht="15" customHeight="1" s="47">
      <c r="A17" s="55" t="n">
        <v>6</v>
      </c>
      <c r="B17" s="56" t="inlineStr">
        <is>
          <t>Asgari</t>
        </is>
      </c>
      <c r="C17" s="57" t="inlineStr">
        <is>
          <t>VM20260305110413</t>
        </is>
      </c>
      <c r="D17" s="63" t="inlineStr">
        <is>
          <t>ventas.meli010@gmail.com</t>
        </is>
      </c>
      <c r="E17" s="64" t="inlineStr">
        <is>
          <t>8140294490</t>
        </is>
      </c>
      <c r="F17" s="59" t="inlineStr">
        <is>
          <t>Cel amarillo</t>
        </is>
      </c>
      <c r="G17" s="60" t="n">
        <v>49401</v>
      </c>
      <c r="H17" s="66" t="inlineStr">
        <is>
          <t>RIESGO</t>
        </is>
      </c>
      <c r="I17" s="62" t="inlineStr">
        <is>
          <t>snapshot 7-may</t>
        </is>
      </c>
      <c r="J17" s="62" t="inlineStr">
        <is>
          <t>v3 15-may 23:00 | email actualizado 2026-05-17 (Asgari De Jesus) | email previo restaurado (OAuth pendiente para token actual)</t>
        </is>
      </c>
    </row>
    <row r="18" ht="15" customHeight="1" s="47">
      <c r="A18" s="55" t="n">
        <v>7</v>
      </c>
      <c r="B18" s="56" t="inlineStr">
        <is>
          <t>Claribel</t>
        </is>
      </c>
      <c r="C18" s="57" t="inlineStr">
        <is>
          <t>CX20260420180750</t>
        </is>
      </c>
      <c r="D18" s="58" t="inlineStr">
        <is>
          <t>ventas.meli011@gmail.com</t>
        </is>
      </c>
      <c r="E18" s="58" t="inlineStr">
        <is>
          <t>?</t>
        </is>
      </c>
      <c r="F18" s="59" t="inlineStr">
        <is>
          <t>?</t>
        </is>
      </c>
      <c r="G18" s="60" t="n">
        <v>11298</v>
      </c>
      <c r="H18" s="61" t="inlineStr">
        <is>
          <t>ACTIVO</t>
        </is>
      </c>
      <c r="I18" s="62" t="inlineStr">
        <is>
          <t>ancla + retiros</t>
        </is>
      </c>
      <c r="J18" s="62" t="inlineStr">
        <is>
          <t>v3 15-may 23:00 | email actualizado 2026-05-17 (Claribel Perez)</t>
        </is>
      </c>
    </row>
    <row r="19" ht="15" customHeight="1" s="47">
      <c r="A19" s="55" t="n">
        <v>8</v>
      </c>
      <c r="B19" s="56" t="inlineStr">
        <is>
          <t>Dilcie</t>
        </is>
      </c>
      <c r="C19" s="57" t="inlineStr">
        <is>
          <t>DG20260423144323</t>
        </is>
      </c>
      <c r="D19" s="58" t="inlineStr">
        <is>
          <t>ventas.meli014@gmail.com</t>
        </is>
      </c>
      <c r="E19" s="58" t="inlineStr">
        <is>
          <t>?</t>
        </is>
      </c>
      <c r="F19" s="59" t="inlineStr">
        <is>
          <t>?</t>
        </is>
      </c>
      <c r="G19" s="67" t="n">
        <v>0</v>
      </c>
      <c r="H19" s="68" t="inlineStr">
        <is>
          <t>SIN VENTAS</t>
        </is>
      </c>
      <c r="I19" s="62" t="inlineStr">
        <is>
          <t>API</t>
        </is>
      </c>
      <c r="J19" s="62" t="inlineStr">
        <is>
          <t>0 ventas 60d | email actualizado 2026-05-17 (Dilcie Guadalupe Medina Chale)</t>
        </is>
      </c>
    </row>
    <row r="20" ht="15" customHeight="1" s="47">
      <c r="A20" s="55" t="n">
        <v>9</v>
      </c>
      <c r="B20" s="56" t="inlineStr">
        <is>
          <t>Bren</t>
        </is>
      </c>
      <c r="C20" s="57" t="inlineStr">
        <is>
          <t>CB20250420003442</t>
        </is>
      </c>
      <c r="D20" s="58" t="inlineStr">
        <is>
          <t>ventas.meli013@gmail.com</t>
        </is>
      </c>
      <c r="E20" s="58" t="inlineStr">
        <is>
          <t>?</t>
        </is>
      </c>
      <c r="F20" s="59" t="inlineStr">
        <is>
          <t>?</t>
        </is>
      </c>
      <c r="G20" s="67" t="n">
        <v>0</v>
      </c>
      <c r="H20" s="68" t="inlineStr">
        <is>
          <t>SIN VENTAS</t>
        </is>
      </c>
      <c r="I20" s="62" t="inlineStr">
        <is>
          <t>API</t>
        </is>
      </c>
      <c r="J20" s="62" t="inlineStr">
        <is>
          <t>0 ventas 60d | email actualizado 2026-05-17 (Bren Castillo)</t>
        </is>
      </c>
    </row>
    <row r="21" ht="15" customHeight="1" s="47">
      <c r="A21" s="55" t="n">
        <v>10</v>
      </c>
      <c r="B21" s="56" t="inlineStr">
        <is>
          <t>YC_NEW</t>
        </is>
      </c>
      <c r="C21" s="57" t="inlineStr">
        <is>
          <t>YC20260428092057</t>
        </is>
      </c>
      <c r="D21" s="58" t="inlineStr">
        <is>
          <t>ventas.meli016@gmail.com</t>
        </is>
      </c>
      <c r="E21" s="58" t="inlineStr">
        <is>
          <t>?</t>
        </is>
      </c>
      <c r="F21" s="59" t="inlineStr">
        <is>
          <t>?</t>
        </is>
      </c>
      <c r="G21" s="67" t="n">
        <v>0</v>
      </c>
      <c r="H21" s="68" t="inlineStr">
        <is>
          <t>SIN VENTAS</t>
        </is>
      </c>
      <c r="I21" s="62" t="inlineStr">
        <is>
          <t>API</t>
        </is>
      </c>
      <c r="J21" s="62" t="inlineStr">
        <is>
          <t>Sin actividad | email actualizado 2026-05-17 (Yriam Cordoba)</t>
        </is>
      </c>
    </row>
    <row r="22" ht="15" customHeight="1" s="47">
      <c r="A22" s="55" t="n">
        <v>11</v>
      </c>
      <c r="B22" s="56" t="inlineStr">
        <is>
          <t>Mildred</t>
        </is>
      </c>
      <c r="C22" s="57" t="inlineStr">
        <is>
          <t>(token caducado)</t>
        </is>
      </c>
      <c r="D22" s="58" t="inlineStr">
        <is>
          <t>ventas.meli015@gmail.com</t>
        </is>
      </c>
      <c r="E22" s="58" t="inlineStr">
        <is>
          <t>?</t>
        </is>
      </c>
      <c r="F22" s="59" t="inlineStr">
        <is>
          <t>?</t>
        </is>
      </c>
      <c r="G22" s="67" t="n">
        <v>0</v>
      </c>
      <c r="H22" s="66" t="inlineStr">
        <is>
          <t>ERROR</t>
        </is>
      </c>
      <c r="I22" s="62" t="inlineStr">
        <is>
          <t>—</t>
        </is>
      </c>
      <c r="J22" s="62" t="inlineStr">
        <is>
          <t>Renovar refresh_token | email actualizado 2026-05-17 (Mildred Tec)</t>
        </is>
      </c>
    </row>
    <row r="23" ht="15" customHeight="1" s="47">
      <c r="A23" s="55" t="n">
        <v>12</v>
      </c>
      <c r="B23" s="56" t="inlineStr">
        <is>
          <t>Asva</t>
        </is>
      </c>
      <c r="C23" s="57" t="inlineStr">
        <is>
          <t>ASVAELECTRONICS</t>
        </is>
      </c>
      <c r="D23" s="63" t="inlineStr">
        <is>
          <t>asvaelectronics@gmail.com</t>
        </is>
      </c>
      <c r="E23" s="64" t="inlineStr">
        <is>
          <t>+52 81 3603 0487</t>
        </is>
      </c>
      <c r="F23" s="59" t="inlineStr">
        <is>
          <t>iPhone rojo</t>
        </is>
      </c>
      <c r="G23" s="67" t="n">
        <v>0</v>
      </c>
      <c r="H23" s="68" t="inlineStr">
        <is>
          <t>EXCLUIDA</t>
        </is>
      </c>
      <c r="I23" s="62" t="inlineStr">
        <is>
          <t>—</t>
        </is>
      </c>
      <c r="J23" s="62" t="inlineStr">
        <is>
          <t>Excluida + recibió $22,405. Titular: Jose L Vargas (RFC GS7783492) | email actualizado 2026-05-17 (Asva Electronics)</t>
        </is>
      </c>
    </row>
    <row r="24" ht="30" customHeight="1" s="47">
      <c r="A24" s="69" t="n"/>
      <c r="B24" s="70" t="inlineStr">
        <is>
          <t>SUBTOTAL MELI</t>
        </is>
      </c>
      <c r="C24" s="71" t="inlineStr">
        <is>
          <t>(excl. Asva)</t>
        </is>
      </c>
      <c r="D24" s="69" t="n"/>
      <c r="E24" s="69" t="n"/>
      <c r="F24" s="69" t="n"/>
      <c r="G24" s="72">
        <f>SUM(G12:G23)</f>
        <v/>
      </c>
      <c r="H24" s="69" t="n"/>
      <c r="I24" s="69" t="n"/>
      <c r="J24" s="69" t="n"/>
    </row>
    <row r="26" ht="21.75" customHeight="1" s="47">
      <c r="A26" s="50" t="inlineStr">
        <is>
          <t>B) INVERSIONES &amp; BANCO</t>
        </is>
      </c>
    </row>
    <row r="27" ht="30" customHeight="1" s="47">
      <c r="A27" s="54" t="inlineStr">
        <is>
          <t>#</t>
        </is>
      </c>
      <c r="B27" s="54" t="inlineStr">
        <is>
          <t>Cuenta</t>
        </is>
      </c>
      <c r="C27" s="54" t="inlineStr">
        <is>
          <t>Tipo</t>
        </is>
      </c>
      <c r="D27" s="54" t="inlineStr">
        <is>
          <t>Titular</t>
        </is>
      </c>
      <c r="E27" s="54" t="inlineStr">
        <is>
          <t>Saldo (MXN)</t>
        </is>
      </c>
      <c r="F27" s="54" t="n"/>
      <c r="G27" s="54" t="n"/>
      <c r="H27" s="54" t="inlineStr">
        <is>
          <t>Estado</t>
        </is>
      </c>
      <c r="I27" s="54" t="inlineStr">
        <is>
          <t>Origen</t>
        </is>
      </c>
      <c r="J27" s="54" t="inlineStr">
        <is>
          <t>Notas</t>
        </is>
      </c>
    </row>
    <row r="28" ht="15" customHeight="1" s="47">
      <c r="A28" s="55" t="n">
        <v>1</v>
      </c>
      <c r="B28" s="56" t="inlineStr">
        <is>
          <t>Inversión BBVA</t>
        </is>
      </c>
      <c r="C28" s="55" t="inlineStr">
        <is>
          <t>Inversión fija</t>
        </is>
      </c>
      <c r="D28" s="55" t="inlineStr">
        <is>
          <t>—</t>
        </is>
      </c>
      <c r="E28" s="60" t="n">
        <v>3187483</v>
      </c>
      <c r="F28" s="73" t="n"/>
      <c r="G28" s="74" t="n"/>
      <c r="H28" s="61" t="inlineStr">
        <is>
          <t>ACTIVO</t>
        </is>
      </c>
      <c r="I28" s="62" t="inlineStr">
        <is>
          <t>saldo actual</t>
        </is>
      </c>
      <c r="J28" s="62" t="inlineStr">
        <is>
          <t>Capital invertido</t>
        </is>
      </c>
    </row>
    <row r="29" ht="15" customHeight="1" s="47">
      <c r="A29" s="55" t="n">
        <v>2</v>
      </c>
      <c r="B29" s="56" t="inlineStr">
        <is>
          <t>BBVA LV</t>
        </is>
      </c>
      <c r="C29" s="55" t="inlineStr">
        <is>
          <t>Cuenta corriente</t>
        </is>
      </c>
      <c r="D29" s="55" t="inlineStr">
        <is>
          <t>Luis Vargas</t>
        </is>
      </c>
      <c r="E29" s="60" t="n">
        <v>1180508</v>
      </c>
      <c r="F29" s="73" t="n"/>
      <c r="G29" s="74" t="n"/>
      <c r="H29" s="61" t="inlineStr">
        <is>
          <t>ACTIVO</t>
        </is>
      </c>
      <c r="I29" s="62" t="inlineStr">
        <is>
          <t>saldo actual</t>
        </is>
      </c>
      <c r="J29" s="62" t="inlineStr">
        <is>
          <t>Snapshot 15-may</t>
        </is>
      </c>
    </row>
    <row r="30" ht="15" customHeight="1" s="47">
      <c r="A30" s="55" t="n">
        <v>3</v>
      </c>
      <c r="B30" s="56" t="inlineStr">
        <is>
          <t>Dolar App</t>
        </is>
      </c>
      <c r="C30" s="55" t="inlineStr">
        <is>
          <t>Cuenta dólar</t>
        </is>
      </c>
      <c r="D30" s="55" t="inlineStr">
        <is>
          <t>—</t>
        </is>
      </c>
      <c r="E30" s="60" t="n">
        <v>72896</v>
      </c>
      <c r="F30" s="73" t="n"/>
      <c r="G30" s="74" t="n"/>
      <c r="H30" s="61" t="inlineStr">
        <is>
          <t>ACTIVO</t>
        </is>
      </c>
      <c r="I30" s="62" t="inlineStr">
        <is>
          <t>saldo actual</t>
        </is>
      </c>
      <c r="J30" s="62" t="inlineStr">
        <is>
          <t>Reserva en dólares</t>
        </is>
      </c>
    </row>
    <row r="31" ht="15" customHeight="1" s="47">
      <c r="A31" s="55" t="n">
        <v>4</v>
      </c>
      <c r="B31" s="56" t="inlineStr">
        <is>
          <t>MP LV</t>
        </is>
      </c>
      <c r="C31" s="55" t="inlineStr">
        <is>
          <t>Mercado Pago personal</t>
        </is>
      </c>
      <c r="D31" s="55" t="inlineStr">
        <is>
          <t>Luis Vargas</t>
        </is>
      </c>
      <c r="E31" s="60" t="n">
        <v>332588</v>
      </c>
      <c r="F31" s="73" t="n"/>
      <c r="G31" s="74" t="n"/>
      <c r="H31" s="61" t="inlineStr">
        <is>
          <t>ACTIVO</t>
        </is>
      </c>
      <c r="I31" s="62" t="inlineStr">
        <is>
          <t>saldo actual</t>
        </is>
      </c>
      <c r="J31" s="62" t="inlineStr">
        <is>
          <t>Snapshot 15-may</t>
        </is>
      </c>
    </row>
    <row r="32" ht="30" customHeight="1" s="47">
      <c r="A32" s="69" t="n"/>
      <c r="B32" s="70" t="inlineStr">
        <is>
          <t>SUBTOTAL INVERSIONES</t>
        </is>
      </c>
      <c r="C32" s="69" t="n"/>
      <c r="D32" s="69" t="n"/>
      <c r="E32" s="72">
        <f>SUM(E28:E31)</f>
        <v/>
      </c>
      <c r="F32" s="75" t="n"/>
      <c r="G32" s="76" t="n"/>
      <c r="H32" s="69" t="n"/>
      <c r="I32" s="69" t="n"/>
      <c r="J32" s="69" t="n"/>
    </row>
    <row r="34" ht="21.75" customHeight="1" s="47">
      <c r="A34" s="50" t="inlineStr">
        <is>
          <t>C) EFECTIVO</t>
        </is>
      </c>
    </row>
    <row r="35" ht="30" customHeight="1" s="47">
      <c r="A35" s="54" t="inlineStr">
        <is>
          <t>#</t>
        </is>
      </c>
      <c r="B35" s="54" t="inlineStr">
        <is>
          <t>Cuenta</t>
        </is>
      </c>
      <c r="C35" s="54" t="inlineStr">
        <is>
          <t>Tipo</t>
        </is>
      </c>
      <c r="D35" s="54" t="inlineStr">
        <is>
          <t>Titular</t>
        </is>
      </c>
      <c r="E35" s="54" t="inlineStr">
        <is>
          <t>Saldo (MXN)</t>
        </is>
      </c>
      <c r="F35" s="54" t="n"/>
      <c r="G35" s="54" t="n"/>
      <c r="H35" s="54" t="inlineStr">
        <is>
          <t>Estado</t>
        </is>
      </c>
      <c r="I35" s="54" t="inlineStr">
        <is>
          <t>Origen</t>
        </is>
      </c>
      <c r="J35" s="54" t="inlineStr">
        <is>
          <t>Notas</t>
        </is>
      </c>
    </row>
    <row r="36" ht="15" customHeight="1" s="47">
      <c r="A36" s="55" t="n">
        <v>1</v>
      </c>
      <c r="B36" s="56" t="inlineStr">
        <is>
          <t>Efectivo (Caja)</t>
        </is>
      </c>
      <c r="C36" s="55" t="inlineStr">
        <is>
          <t>Efectivo</t>
        </is>
      </c>
      <c r="D36" s="55" t="inlineStr">
        <is>
          <t>—</t>
        </is>
      </c>
      <c r="E36" s="60" t="n">
        <v>185000</v>
      </c>
      <c r="F36" s="73" t="n"/>
      <c r="G36" s="74" t="n"/>
      <c r="H36" s="61" t="inlineStr">
        <is>
          <t>ACTIVO</t>
        </is>
      </c>
      <c r="I36" s="62" t="inlineStr">
        <is>
          <t>manual</t>
        </is>
      </c>
      <c r="J36" s="62" t="inlineStr">
        <is>
          <t>Caja física — pesos + dólares</t>
        </is>
      </c>
    </row>
    <row r="37" ht="30" customHeight="1" s="47">
      <c r="A37" s="69" t="n"/>
      <c r="B37" s="70" t="inlineStr">
        <is>
          <t>SUBTOTAL EFECTIVO</t>
        </is>
      </c>
      <c r="C37" s="69" t="n"/>
      <c r="D37" s="69" t="n"/>
      <c r="E37" s="72">
        <f>SUM(E36)</f>
        <v/>
      </c>
      <c r="F37" s="75" t="n"/>
      <c r="G37" s="76" t="n"/>
      <c r="H37" s="69" t="n"/>
      <c r="I37" s="69" t="n"/>
      <c r="J37" s="69" t="n"/>
    </row>
    <row r="38" ht="17.25" customHeight="1" s="47"/>
    <row r="39" ht="42" customHeight="1" s="47">
      <c r="A39" s="77" t="n"/>
      <c r="B39" s="78" t="inlineStr">
        <is>
          <t>🏆 GRAN TOTAL CAPITAL</t>
        </is>
      </c>
      <c r="C39" s="79" t="inlineStr">
        <is>
          <t>MELI + Inversiones + Efectivo</t>
        </is>
      </c>
      <c r="D39" s="77" t="n"/>
      <c r="E39" s="77" t="n"/>
      <c r="F39" s="77" t="n"/>
      <c r="G39" s="80">
        <f>G24+E32+E37</f>
        <v/>
      </c>
      <c r="H39" s="77" t="n"/>
      <c r="I39" s="77" t="n"/>
      <c r="J39" s="77" t="n"/>
    </row>
    <row r="41" ht="21.75" customHeight="1" s="47">
      <c r="A41" s="81" t="inlineStr">
        <is>
          <t>💀 CUENTAS MUERTAS (no suman al capital activo)</t>
        </is>
      </c>
    </row>
    <row r="42" ht="30" customHeight="1" s="47">
      <c r="A42" s="54" t="inlineStr">
        <is>
          <t>#</t>
        </is>
      </c>
      <c r="B42" s="54" t="inlineStr">
        <is>
          <t>Cuenta</t>
        </is>
      </c>
      <c r="C42" s="54" t="inlineStr">
        <is>
          <t>Email</t>
        </is>
      </c>
      <c r="D42" s="54" t="inlineStr">
        <is>
          <t>Teléfono</t>
        </is>
      </c>
      <c r="E42" s="54" t="inlineStr">
        <is>
          <t>Equipo</t>
        </is>
      </c>
      <c r="F42" s="54" t="inlineStr">
        <is>
          <t>Saldo</t>
        </is>
      </c>
      <c r="G42" s="54" t="inlineStr">
        <is>
          <t>Estado</t>
        </is>
      </c>
      <c r="H42" s="54" t="inlineStr">
        <is>
          <t>Origen</t>
        </is>
      </c>
      <c r="I42" s="54" t="inlineStr">
        <is>
          <t>Notas</t>
        </is>
      </c>
    </row>
    <row r="43" ht="15" customHeight="1" s="47">
      <c r="A43" s="55" t="n">
        <v>1</v>
      </c>
      <c r="B43" s="82" t="inlineStr">
        <is>
          <t>Cuenta Milton</t>
        </is>
      </c>
      <c r="C43" s="63" t="inlineStr">
        <is>
          <t>ventas.meli009@gmail.com</t>
        </is>
      </c>
      <c r="D43" s="83" t="inlineStr">
        <is>
          <t>5652625204</t>
        </is>
      </c>
      <c r="E43" s="62" t="inlineStr">
        <is>
          <t>Cel Negro Barato</t>
        </is>
      </c>
      <c r="F43" s="84" t="n">
        <v>0</v>
      </c>
      <c r="G43" s="74" t="n"/>
      <c r="H43" s="85" t="inlineStr">
        <is>
          <t>CERRADA</t>
        </is>
      </c>
      <c r="I43" s="62" t="inlineStr">
        <is>
          <t>manual</t>
        </is>
      </c>
      <c r="J43" s="62" t="inlineStr">
        <is>
          <t>Liquidada 11-may. Titular: Milton Puc. Saldo previo $5,000 (lib 23-abr)</t>
        </is>
      </c>
    </row>
    <row r="44" ht="15" customHeight="1" s="47">
      <c r="A44" s="55" t="n">
        <v>2</v>
      </c>
      <c r="B44" s="82" t="inlineStr">
        <is>
          <t>Juan Roberto</t>
        </is>
      </c>
      <c r="C44" s="58" t="inlineStr">
        <is>
          <t>?</t>
        </is>
      </c>
      <c r="D44" s="83" t="inlineStr">
        <is>
          <t>?</t>
        </is>
      </c>
      <c r="E44" s="62" t="inlineStr">
        <is>
          <t>?</t>
        </is>
      </c>
      <c r="F44" s="84" t="n">
        <v>0</v>
      </c>
      <c r="G44" s="74" t="n"/>
      <c r="H44" s="85" t="inlineStr">
        <is>
          <t>INACTIVA</t>
        </is>
      </c>
      <c r="I44" s="62" t="inlineStr">
        <is>
          <t>—</t>
        </is>
      </c>
      <c r="J44" s="62" t="inlineStr">
        <is>
          <t>Cuenta sin actividad</t>
        </is>
      </c>
    </row>
    <row r="45" ht="15" customHeight="1" s="47">
      <c r="A45" s="55" t="n">
        <v>3</v>
      </c>
      <c r="B45" s="82" t="inlineStr">
        <is>
          <t>Miriam</t>
        </is>
      </c>
      <c r="C45" s="58" t="inlineStr">
        <is>
          <t>?</t>
        </is>
      </c>
      <c r="D45" s="83" t="inlineStr">
        <is>
          <t>?</t>
        </is>
      </c>
      <c r="E45" s="62" t="inlineStr">
        <is>
          <t>?</t>
        </is>
      </c>
      <c r="F45" s="84" t="n">
        <v>0</v>
      </c>
      <c r="G45" s="74" t="n"/>
      <c r="H45" s="85" t="inlineStr">
        <is>
          <t>INACTIVA</t>
        </is>
      </c>
      <c r="I45" s="62" t="inlineStr">
        <is>
          <t>—</t>
        </is>
      </c>
      <c r="J45" s="62" t="inlineStr">
        <is>
          <t>Cuenta sin actividad</t>
        </is>
      </c>
    </row>
    <row r="48" ht="21.75" customHeight="1" s="47">
      <c r="A48" s="86" t="inlineStr">
        <is>
          <t>📇 OTRAS CUENTAS REGISTRADAS (sin token MELI / sin saldo verificado)</t>
        </is>
      </c>
    </row>
    <row r="49" ht="30" customHeight="1" s="47">
      <c r="A49" s="54" t="inlineStr">
        <is>
          <t>#</t>
        </is>
      </c>
      <c r="B49" s="54" t="inlineStr">
        <is>
          <t>Titular</t>
        </is>
      </c>
      <c r="C49" s="54" t="inlineStr">
        <is>
          <t>Email</t>
        </is>
      </c>
      <c r="D49" s="54" t="inlineStr">
        <is>
          <t>Teléfono</t>
        </is>
      </c>
      <c r="E49" s="54" t="inlineStr">
        <is>
          <t>Equipo</t>
        </is>
      </c>
      <c r="F49" s="54" t="inlineStr">
        <is>
          <t>RFC</t>
        </is>
      </c>
      <c r="G49" s="54" t="inlineStr">
        <is>
          <t>Contraseña</t>
        </is>
      </c>
      <c r="H49" s="54" t="inlineStr">
        <is>
          <t>Estado</t>
        </is>
      </c>
      <c r="I49" s="54" t="inlineStr">
        <is>
          <t>Notas</t>
        </is>
      </c>
    </row>
    <row r="50" ht="15" customHeight="1" s="47">
      <c r="A50" s="55" t="n">
        <v>1</v>
      </c>
      <c r="B50" s="56" t="inlineStr">
        <is>
          <t>Jose Gutierrez</t>
        </is>
      </c>
      <c r="C50" s="63" t="inlineStr">
        <is>
          <t>ventas.meli00001@gmail.com</t>
        </is>
      </c>
      <c r="D50" s="83" t="inlineStr">
        <is>
          <t>9994378450</t>
        </is>
      </c>
      <c r="E50" s="62" t="inlineStr">
        <is>
          <t>—</t>
        </is>
      </c>
      <c r="F50" s="57" t="inlineStr">
        <is>
          <t>GUPJ900103FG0</t>
        </is>
      </c>
      <c r="G50" s="87" t="inlineStr">
        <is>
          <t>Conkal2025$</t>
        </is>
      </c>
      <c r="H50" s="85" t="inlineStr">
        <is>
          <t>MUERTA</t>
        </is>
      </c>
      <c r="I50" s="62" t="n"/>
      <c r="J50" s="74" t="n"/>
    </row>
    <row r="51" ht="15" customHeight="1" s="47">
      <c r="A51" s="55" t="n">
        <v>2</v>
      </c>
      <c r="B51" s="56" t="inlineStr">
        <is>
          <t>Jose L Vargas (Shein)</t>
        </is>
      </c>
      <c r="C51" s="63" t="inlineStr">
        <is>
          <t>direccion@grupoasva.com</t>
        </is>
      </c>
      <c r="D51" s="83" t="inlineStr">
        <is>
          <t>+52 81 3603 0487</t>
        </is>
      </c>
      <c r="E51" s="62" t="inlineStr">
        <is>
          <t>iPhone Rojo</t>
        </is>
      </c>
      <c r="F51" s="57" t="inlineStr">
        <is>
          <t>GS7783492</t>
        </is>
      </c>
      <c r="G51" s="87" t="inlineStr">
        <is>
          <t>Jlvg2804</t>
        </is>
      </c>
      <c r="H51" s="61" t="inlineStr">
        <is>
          <t>ACTIVA</t>
        </is>
      </c>
      <c r="I51" s="62" t="inlineStr">
        <is>
          <t>Asva ya está en MELI arriba</t>
        </is>
      </c>
      <c r="J51" s="74" t="n"/>
    </row>
    <row r="52" ht="15" customHeight="1" s="47">
      <c r="A52" s="55" t="n">
        <v>3</v>
      </c>
      <c r="B52" s="56" t="inlineStr">
        <is>
          <t>Luz Jimenez</t>
        </is>
      </c>
      <c r="C52" s="88" t="inlineStr">
        <is>
          <t>—</t>
        </is>
      </c>
      <c r="D52" s="83" t="inlineStr">
        <is>
          <t>8126085744</t>
        </is>
      </c>
      <c r="E52" s="62" t="inlineStr">
        <is>
          <t>—</t>
        </is>
      </c>
      <c r="F52" s="57" t="inlineStr">
        <is>
          <t>GS8731650</t>
        </is>
      </c>
      <c r="G52" s="87" t="inlineStr">
        <is>
          <t>Jlvg2804</t>
        </is>
      </c>
      <c r="H52" s="62" t="inlineStr">
        <is>
          <t>—</t>
        </is>
      </c>
      <c r="I52" s="62" t="inlineStr">
        <is>
          <t>Sin email registrado</t>
        </is>
      </c>
      <c r="J52" s="74" t="n"/>
    </row>
    <row r="53" ht="15" customHeight="1" s="47">
      <c r="A53" s="55" t="n">
        <v>4</v>
      </c>
      <c r="B53" s="56" t="inlineStr">
        <is>
          <t>Violeta</t>
        </is>
      </c>
      <c r="C53" s="63" t="inlineStr">
        <is>
          <t>ventas.meli2.369@gmail.com</t>
        </is>
      </c>
      <c r="D53" s="83" t="inlineStr">
        <is>
          <t>8116644506</t>
        </is>
      </c>
      <c r="E53" s="62" t="inlineStr">
        <is>
          <t>—</t>
        </is>
      </c>
      <c r="F53" s="57" t="inlineStr">
        <is>
          <t>—</t>
        </is>
      </c>
      <c r="G53" s="87" t="inlineStr">
        <is>
          <t>jlvg2804</t>
        </is>
      </c>
      <c r="H53" s="85" t="inlineStr">
        <is>
          <t>MUERTA</t>
        </is>
      </c>
      <c r="I53" s="62" t="n"/>
      <c r="J53" s="74" t="n"/>
    </row>
    <row r="54" ht="15" customHeight="1" s="47">
      <c r="A54" s="55" t="n">
        <v>5</v>
      </c>
      <c r="B54" s="56" t="inlineStr">
        <is>
          <t>Mamá</t>
        </is>
      </c>
      <c r="C54" s="63" t="inlineStr">
        <is>
          <t>gomez.mago369@gmail.com</t>
        </is>
      </c>
      <c r="D54" s="83" t="inlineStr">
        <is>
          <t>—</t>
        </is>
      </c>
      <c r="E54" s="62" t="inlineStr">
        <is>
          <t>—</t>
        </is>
      </c>
      <c r="F54" s="57" t="inlineStr">
        <is>
          <t>—</t>
        </is>
      </c>
      <c r="G54" s="87" t="inlineStr">
        <is>
          <t>jlvg2804</t>
        </is>
      </c>
      <c r="H54" s="65" t="inlineStr">
        <is>
          <t>STANBY</t>
        </is>
      </c>
      <c r="I54" s="62" t="n"/>
      <c r="J54" s="74" t="n"/>
    </row>
    <row r="55" ht="15" customHeight="1" s="47">
      <c r="A55" s="55" t="n">
        <v>6</v>
      </c>
      <c r="B55" s="56" t="inlineStr">
        <is>
          <t>Luis Alberto Parra</t>
        </is>
      </c>
      <c r="C55" s="63" t="inlineStr">
        <is>
          <t>ventas.meli003@gmail.com</t>
        </is>
      </c>
      <c r="D55" s="83" t="inlineStr">
        <is>
          <t>8116937229</t>
        </is>
      </c>
      <c r="E55" s="62" t="inlineStr">
        <is>
          <t>—</t>
        </is>
      </c>
      <c r="F55" s="57" t="inlineStr">
        <is>
          <t>—</t>
        </is>
      </c>
      <c r="G55" s="87" t="inlineStr">
        <is>
          <t>jlvg2804</t>
        </is>
      </c>
      <c r="H55" s="61" t="inlineStr">
        <is>
          <t>VIVA</t>
        </is>
      </c>
      <c r="I55" s="62" t="inlineStr">
        <is>
          <t>Posible match con alguna cuenta MELI — verificar</t>
        </is>
      </c>
      <c r="J55" s="74" t="n"/>
    </row>
    <row r="56" ht="15" customHeight="1" s="47">
      <c r="A56" s="55" t="n">
        <v>7</v>
      </c>
      <c r="B56" s="56" t="inlineStr">
        <is>
          <t>Pablo Jimenez</t>
        </is>
      </c>
      <c r="C56" s="63" t="inlineStr">
        <is>
          <t>ventas.meli004@gmail.com</t>
        </is>
      </c>
      <c r="D56" s="83" t="inlineStr">
        <is>
          <t>9994181274</t>
        </is>
      </c>
      <c r="E56" s="62" t="inlineStr">
        <is>
          <t>—</t>
        </is>
      </c>
      <c r="F56" s="57" t="inlineStr">
        <is>
          <t>—</t>
        </is>
      </c>
      <c r="G56" s="87" t="inlineStr">
        <is>
          <t>jlvg2804</t>
        </is>
      </c>
      <c r="H56" s="85" t="inlineStr">
        <is>
          <t>MUERTA</t>
        </is>
      </c>
      <c r="I56" s="62" t="n"/>
      <c r="J56" s="74" t="n"/>
    </row>
    <row r="57" ht="15" customHeight="1" s="47">
      <c r="A57" s="55" t="n">
        <v>8</v>
      </c>
      <c r="B57" s="56" t="inlineStr">
        <is>
          <t>Jorge Gomez</t>
        </is>
      </c>
      <c r="C57" s="63" t="inlineStr">
        <is>
          <t>ventas.meli0005@gmail.com</t>
        </is>
      </c>
      <c r="D57" s="83" t="inlineStr">
        <is>
          <t>9994160607</t>
        </is>
      </c>
      <c r="E57" s="62" t="inlineStr">
        <is>
          <t>—</t>
        </is>
      </c>
      <c r="F57" s="57" t="inlineStr">
        <is>
          <t>—</t>
        </is>
      </c>
      <c r="G57" s="87" t="inlineStr">
        <is>
          <t>jlvg2804</t>
        </is>
      </c>
      <c r="H57" s="85" t="inlineStr">
        <is>
          <t>MUERTA</t>
        </is>
      </c>
      <c r="I57" s="62" t="n"/>
      <c r="J57" s="74" t="n"/>
    </row>
    <row r="58" ht="15" customHeight="1" s="47">
      <c r="A58" s="55" t="n">
        <v>9</v>
      </c>
      <c r="B58" s="56" t="inlineStr">
        <is>
          <t>Luis Alberto Nahuac Puc</t>
        </is>
      </c>
      <c r="C58" s="63" t="inlineStr">
        <is>
          <t>ventas.meli0006@gmail.com</t>
        </is>
      </c>
      <c r="D58" s="83" t="inlineStr">
        <is>
          <t>9994513447</t>
        </is>
      </c>
      <c r="E58" s="62" t="inlineStr">
        <is>
          <t>Naomi Azul</t>
        </is>
      </c>
      <c r="F58" s="57" t="inlineStr">
        <is>
          <t>—</t>
        </is>
      </c>
      <c r="G58" s="87" t="inlineStr">
        <is>
          <t>jlvg2804</t>
        </is>
      </c>
      <c r="H58" s="61" t="inlineStr">
        <is>
          <t>ACTIVA</t>
        </is>
      </c>
      <c r="I58" s="62" t="inlineStr">
        <is>
          <t>Posible match con cuenta MELI — verificar</t>
        </is>
      </c>
      <c r="J58" s="74" t="n"/>
    </row>
    <row r="59" ht="15" customHeight="1" s="47">
      <c r="A59" s="55" t="n">
        <v>10</v>
      </c>
      <c r="B59" s="56" t="inlineStr">
        <is>
          <t>Eduardo Matu</t>
        </is>
      </c>
      <c r="C59" s="63" t="inlineStr">
        <is>
          <t>ventas.meli008@gmail.com</t>
        </is>
      </c>
      <c r="D59" s="83" t="inlineStr">
        <is>
          <t>6462157908</t>
        </is>
      </c>
      <c r="E59" s="62" t="inlineStr">
        <is>
          <t>Iphone Rojo</t>
        </is>
      </c>
      <c r="F59" s="57" t="inlineStr">
        <is>
          <t>—</t>
        </is>
      </c>
      <c r="G59" s="87" t="inlineStr">
        <is>
          <t>—</t>
        </is>
      </c>
      <c r="H59" s="61" t="inlineStr">
        <is>
          <t>ACTIVA</t>
        </is>
      </c>
      <c r="I59" s="62" t="inlineStr">
        <is>
          <t>Posible match con cuenta MELI — verificar</t>
        </is>
      </c>
      <c r="J59" s="74" t="n"/>
    </row>
    <row r="60" ht="15" customHeight="1" s="47">
      <c r="A60" s="55" t="n">
        <v>11</v>
      </c>
      <c r="B60" s="56" t="inlineStr">
        <is>
          <t>ALMACÉN</t>
        </is>
      </c>
      <c r="C60" s="63" t="inlineStr">
        <is>
          <t>almacén.alchemia1@gmail.com</t>
        </is>
      </c>
      <c r="D60" s="83" t="inlineStr">
        <is>
          <t>—</t>
        </is>
      </c>
      <c r="E60" s="62" t="inlineStr">
        <is>
          <t>—</t>
        </is>
      </c>
      <c r="F60" s="57" t="inlineStr">
        <is>
          <t>—</t>
        </is>
      </c>
      <c r="G60" s="87" t="inlineStr">
        <is>
          <t>—</t>
        </is>
      </c>
      <c r="H60" s="62" t="inlineStr">
        <is>
          <t>ALMACÉN</t>
        </is>
      </c>
      <c r="I60" s="62" t="inlineStr">
        <is>
          <t>Cuenta operativa de almacén</t>
        </is>
      </c>
      <c r="J60" s="74" t="n"/>
    </row>
    <row r="63" ht="21.75" customHeight="1" s="47">
      <c r="A63" s="50" t="inlineStr">
        <is>
          <t>📋 MOVIMIENTOS RECIENTES</t>
        </is>
      </c>
    </row>
    <row r="64" ht="27.75" customHeight="1" s="47">
      <c r="A64" s="54" t="inlineStr">
        <is>
          <t>Fecha</t>
        </is>
      </c>
      <c r="B64" s="54" t="inlineStr">
        <is>
          <t>Tipo</t>
        </is>
      </c>
      <c r="C64" s="54" t="inlineStr">
        <is>
          <t>Cuenta</t>
        </is>
      </c>
      <c r="D64" s="54" t="inlineStr">
        <is>
          <t>Monto</t>
        </is>
      </c>
      <c r="E64" s="54" t="inlineStr">
        <is>
          <t>Destino</t>
        </is>
      </c>
      <c r="F64" s="54" t="inlineStr">
        <is>
          <t>Saldo Post</t>
        </is>
      </c>
      <c r="G64" s="54" t="inlineStr">
        <is>
          <t>Notas</t>
        </is>
      </c>
    </row>
    <row r="65" ht="15" customHeight="1" s="47">
      <c r="A65" s="55" t="inlineStr">
        <is>
          <t>2026-05-05</t>
        </is>
      </c>
      <c r="B65" s="55" t="inlineStr">
        <is>
          <t>Transferencia</t>
        </is>
      </c>
      <c r="C65" s="56" t="inlineStr">
        <is>
          <t>CLARIBEL</t>
        </is>
      </c>
      <c r="D65" s="55" t="inlineStr">
        <is>
          <t>-22,405.00</t>
        </is>
      </c>
      <c r="E65" s="55" t="inlineStr">
        <is>
          <t>ASVA</t>
        </is>
      </c>
      <c r="F65" s="55" t="inlineStr">
        <is>
          <t>34,517.00</t>
        </is>
      </c>
      <c r="G65" s="62" t="inlineStr">
        <is>
          <t>Inter-cuenta</t>
        </is>
      </c>
      <c r="H65" s="73" t="n"/>
      <c r="I65" s="73" t="n"/>
      <c r="J65" s="74" t="n"/>
    </row>
    <row r="66" ht="15" customHeight="1" s="47">
      <c r="A66" s="55" t="inlineStr">
        <is>
          <t>2026-05-10</t>
        </is>
      </c>
      <c r="B66" s="55" t="inlineStr">
        <is>
          <t>Retiro banco</t>
        </is>
      </c>
      <c r="C66" s="56" t="inlineStr">
        <is>
          <t>WILBERT</t>
        </is>
      </c>
      <c r="D66" s="55" t="inlineStr">
        <is>
          <t>-18,300.00</t>
        </is>
      </c>
      <c r="E66" s="55" t="inlineStr">
        <is>
          <t>Banco</t>
        </is>
      </c>
      <c r="F66" s="55" t="inlineStr">
        <is>
          <t>338,291.62</t>
        </is>
      </c>
      <c r="G66" s="62" t="inlineStr">
        <is>
          <t>Retiro confirmado</t>
        </is>
      </c>
      <c r="H66" s="73" t="n"/>
      <c r="I66" s="73" t="n"/>
      <c r="J66" s="74" t="n"/>
    </row>
    <row r="67" ht="15" customHeight="1" s="47">
      <c r="A67" s="55" t="inlineStr">
        <is>
          <t>2026-05-10</t>
        </is>
      </c>
      <c r="B67" s="55" t="inlineStr">
        <is>
          <t>Retiro banco</t>
        </is>
      </c>
      <c r="C67" s="56" t="inlineStr">
        <is>
          <t>CLARIBEL</t>
        </is>
      </c>
      <c r="D67" s="55" t="inlineStr">
        <is>
          <t>-3,338.00</t>
        </is>
      </c>
      <c r="E67" s="55" t="inlineStr">
        <is>
          <t>Banco</t>
        </is>
      </c>
      <c r="F67" s="55" t="inlineStr">
        <is>
          <t>31,179.00</t>
        </is>
      </c>
      <c r="G67" s="62" t="inlineStr">
        <is>
          <t>Retiro confirmado</t>
        </is>
      </c>
      <c r="H67" s="73" t="n"/>
      <c r="I67" s="73" t="n"/>
      <c r="J67" s="74" t="n"/>
    </row>
    <row r="68" ht="15" customHeight="1" s="47">
      <c r="A68" s="55" t="inlineStr">
        <is>
          <t>2026-05-11</t>
        </is>
      </c>
      <c r="B68" s="55" t="inlineStr">
        <is>
          <t>Liquidación</t>
        </is>
      </c>
      <c r="C68" s="56" t="inlineStr">
        <is>
          <t>Cuenta Milton</t>
        </is>
      </c>
      <c r="D68" s="55" t="inlineStr">
        <is>
          <t>-65,000.00</t>
        </is>
      </c>
      <c r="E68" s="55" t="inlineStr">
        <is>
          <t>Liquidada</t>
        </is>
      </c>
      <c r="F68" s="55" t="inlineStr">
        <is>
          <t>0.00</t>
        </is>
      </c>
      <c r="G68" s="62" t="inlineStr">
        <is>
          <t>Cuenta cerrada</t>
        </is>
      </c>
      <c r="H68" s="73" t="n"/>
      <c r="I68" s="73" t="n"/>
      <c r="J68" s="74" t="n"/>
    </row>
    <row r="69" ht="15" customHeight="1" s="47">
      <c r="A69" s="55" t="inlineStr">
        <is>
          <t>2026-05-25</t>
        </is>
      </c>
      <c r="B69" s="55" t="inlineStr">
        <is>
          <t>Programado</t>
        </is>
      </c>
      <c r="C69" s="56" t="inlineStr">
        <is>
          <t>RAYMUNDO</t>
        </is>
      </c>
      <c r="D69" s="55" t="inlineStr">
        <is>
          <t>—</t>
        </is>
      </c>
      <c r="E69" s="55" t="inlineStr">
        <is>
          <t>Banco</t>
        </is>
      </c>
      <c r="F69" s="55" t="inlineStr">
        <is>
          <t>—</t>
        </is>
      </c>
      <c r="G69" s="62" t="inlineStr">
        <is>
          <t>Recordatorio retiro</t>
        </is>
      </c>
      <c r="H69" s="73" t="n"/>
      <c r="I69" s="73" t="n"/>
      <c r="J69" s="74" t="n"/>
    </row>
    <row r="70" ht="15" customHeight="1" s="47">
      <c r="A70" s="55" t="inlineStr">
        <is>
          <t>2026-05-25</t>
        </is>
      </c>
      <c r="B70" s="55" t="inlineStr">
        <is>
          <t>Programado</t>
        </is>
      </c>
      <c r="C70" s="56" t="inlineStr">
        <is>
          <t>JUAN</t>
        </is>
      </c>
      <c r="D70" s="55" t="inlineStr">
        <is>
          <t>—</t>
        </is>
      </c>
      <c r="E70" s="55" t="inlineStr">
        <is>
          <t>Banco</t>
        </is>
      </c>
      <c r="F70" s="55" t="inlineStr">
        <is>
          <t>—</t>
        </is>
      </c>
      <c r="G70" s="62" t="inlineStr">
        <is>
          <t>Recordatorio retiro</t>
        </is>
      </c>
      <c r="H70" s="73" t="n"/>
      <c r="I70" s="73" t="n"/>
      <c r="J70" s="74" t="n"/>
    </row>
    <row r="71" ht="16.5" customHeight="1" s="47">
      <c r="A71" s="55" t="inlineStr">
        <is>
          <t>2026-05-12 22:42</t>
        </is>
      </c>
      <c r="B71" s="56" t="inlineStr">
        <is>
          <t>Retiro banco</t>
        </is>
      </c>
      <c r="C71" s="89" t="inlineStr">
        <is>
          <t>WILBERT</t>
        </is>
      </c>
      <c r="D71" s="55" t="inlineStr">
        <is>
          <t>-$31,018.00</t>
        </is>
      </c>
      <c r="E71" s="55" t="inlineStr">
        <is>
          <t>Banco</t>
        </is>
      </c>
      <c r="F71" s="55" t="inlineStr">
        <is>
          <t>$474,275.55</t>
        </is>
      </c>
      <c r="G71" s="62" t="inlineStr">
        <is>
          <t>Retiro confirmado | Wilbert sigue como mayor revenue</t>
        </is>
      </c>
      <c r="H71" s="90" t="n"/>
      <c r="I71" s="90" t="n"/>
      <c r="J71" s="90" t="n"/>
    </row>
    <row r="72" ht="21.75" customHeight="1" s="47">
      <c r="A72" s="50" t="inlineStr">
        <is>
          <t>📐 FÓRMULA SALDO MP (validada al centavo)</t>
        </is>
      </c>
    </row>
    <row r="73" ht="15" customHeight="1" s="47">
      <c r="A73" s="91" t="inlineStr">
        <is>
          <t>Saldo MP REAL = Bruto - Comisión MELI - Envío seller - Refunds post-release - 2.28%×Bruto - Retiros</t>
        </is>
      </c>
    </row>
    <row r="74" ht="15" customHeight="1" s="47">
      <c r="A74" s="55" t="inlineStr">
        <is>
          <t>2026-05-13 22:11</t>
        </is>
      </c>
      <c r="B74" s="56" t="inlineStr">
        <is>
          <t>Transferencia</t>
        </is>
      </c>
      <c r="C74" s="56" t="inlineStr">
        <is>
          <t>RAYMUNDO → MP LV</t>
        </is>
      </c>
      <c r="D74" s="89" t="inlineStr">
        <is>
          <t>-$265,000.00</t>
        </is>
      </c>
      <c r="E74" s="92" t="inlineStr">
        <is>
          <t>Luis MP</t>
        </is>
      </c>
      <c r="F74" s="55" t="inlineStr">
        <is>
          <t>R:$73,000|MP:$344,290</t>
        </is>
      </c>
      <c r="G74" s="62" t="inlineStr">
        <is>
          <t>Inter-cuenta: Raymundo Guitron MELI → Luis MP personal</t>
        </is>
      </c>
      <c r="H74" s="90" t="n"/>
      <c r="I74" s="90" t="n"/>
      <c r="J74" s="90" t="n"/>
    </row>
    <row r="75" ht="15" customHeight="1" s="47">
      <c r="A75" s="93" t="inlineStr">
        <is>
          <t xml:space="preserve">  • Comisión MELI = sale_fee × qty (visible vía API)</t>
        </is>
      </c>
    </row>
    <row r="76" ht="15" customHeight="1" s="47">
      <c r="A76" s="93" t="inlineStr">
        <is>
          <t xml:space="preserve">  • Envío seller = senders.cost de /shipments/{id}/costs</t>
        </is>
      </c>
    </row>
    <row r="77" ht="15" customHeight="1" s="47">
      <c r="A77" s="93" t="inlineStr">
        <is>
          <t xml:space="preserve">  • Refunds post-release = payments con status='refunded' en cancelled c/ mediation</t>
        </is>
      </c>
    </row>
    <row r="78" ht="15" customHeight="1" s="47">
      <c r="A78" s="93" t="inlineStr">
        <is>
          <t xml:space="preserve">  • 2.28% = retención MELI (ISR + IVA parcial) — invisible per-order vía API</t>
        </is>
      </c>
    </row>
    <row r="79" ht="15" customHeight="1" s="47">
      <c r="A79" s="93" t="inlineStr">
        <is>
          <t xml:space="preserve">  • NO descontar IVA 16% adicional: ese es obligación SAT separada</t>
        </is>
      </c>
    </row>
    <row r="80" ht="15" customHeight="1" s="47">
      <c r="A80" s="93" t="inlineStr">
        <is>
          <t xml:space="preserve">  • Si hay snapshot manual: usar como ancla + delta (precisión 100%)</t>
        </is>
      </c>
    </row>
    <row r="81" ht="15" customHeight="1" s="47">
      <c r="A81" s="55" t="inlineStr">
        <is>
          <t>2026-05-13 22:13</t>
        </is>
      </c>
      <c r="B81" s="56" t="inlineStr">
        <is>
          <t>Transferencia</t>
        </is>
      </c>
      <c r="C81" s="56" t="inlineStr">
        <is>
          <t>JUAN → MP LV</t>
        </is>
      </c>
      <c r="D81" s="89" t="inlineStr">
        <is>
          <t>-$89,865.00</t>
        </is>
      </c>
      <c r="E81" s="92" t="inlineStr">
        <is>
          <t>Luis MP</t>
        </is>
      </c>
      <c r="F81" s="55" t="inlineStr">
        <is>
          <t>J:$31,630.01|MP:$434,155.00</t>
        </is>
      </c>
      <c r="G81" s="62" t="inlineStr">
        <is>
          <t>Inter-cuenta: Juan MELI → Luis MP personal</t>
        </is>
      </c>
      <c r="H81" s="90" t="n"/>
      <c r="I81" s="90" t="n"/>
      <c r="J81" s="90" t="n"/>
    </row>
    <row r="82" ht="15" customHeight="1" s="47">
      <c r="A82" s="94" t="inlineStr">
        <is>
          <t>Validado contra caso Wilbert 11-may-2026: Real $338,291.62 vs Calculado $338,291.62 → Error $0.00</t>
        </is>
      </c>
    </row>
    <row r="83" ht="16.5" customHeight="1" s="47">
      <c r="A83" s="55" t="inlineStr">
        <is>
          <t>2026-05-14 00:31</t>
        </is>
      </c>
      <c r="B83" s="56" t="inlineStr">
        <is>
          <t>Transferencia</t>
        </is>
      </c>
      <c r="C83" s="56" t="inlineStr">
        <is>
          <t>WILBERT → MP LV</t>
        </is>
      </c>
      <c r="D83" s="89" t="inlineStr">
        <is>
          <t>-$42,797.00</t>
        </is>
      </c>
      <c r="E83" s="92" t="inlineStr">
        <is>
          <t>Luis MP</t>
        </is>
      </c>
      <c r="F83" s="55" t="inlineStr">
        <is>
          <t>W:$502,882.42|MP:$476,952.00</t>
        </is>
      </c>
      <c r="G83" s="62" t="inlineStr">
        <is>
          <t>Inter-cuenta: Wilbert MELI → Luis MP personal</t>
        </is>
      </c>
      <c r="H83" s="90" t="n"/>
      <c r="I83" s="90" t="n"/>
      <c r="J83" s="90" t="n"/>
    </row>
    <row r="84" ht="16.5" customHeight="1" s="47">
      <c r="A84" s="55" t="inlineStr">
        <is>
          <t>2026-05-15</t>
        </is>
      </c>
      <c r="B84" s="56" t="inlineStr">
        <is>
          <t>Retiro</t>
        </is>
      </c>
      <c r="C84" s="56" t="inlineStr">
        <is>
          <t>RAYMUNDO</t>
        </is>
      </c>
      <c r="D84" s="89" t="inlineStr">
        <is>
          <t>-$6,300.00</t>
        </is>
      </c>
      <c r="E84" s="55" t="inlineStr">
        <is>
          <t>(¿destino?)</t>
        </is>
      </c>
      <c r="F84" s="55" t="inlineStr">
        <is>
          <t>$29,000.00</t>
        </is>
      </c>
      <c r="G84" s="62" t="inlineStr">
        <is>
          <t>Retiro Raymundo Guitron — saldo confirmado $29,000</t>
        </is>
      </c>
      <c r="H84" s="90" t="n"/>
      <c r="I84" s="90" t="n"/>
      <c r="J84" s="90" t="n"/>
    </row>
  </sheetData>
  <mergeCells count="45">
    <mergeCell ref="E28:G28"/>
    <mergeCell ref="E31:G31"/>
    <mergeCell ref="A4:J4"/>
    <mergeCell ref="E30:G30"/>
    <mergeCell ref="A72:J72"/>
    <mergeCell ref="A10:J10"/>
    <mergeCell ref="A63:J63"/>
    <mergeCell ref="I57:J57"/>
    <mergeCell ref="E36:G36"/>
    <mergeCell ref="I54:J54"/>
    <mergeCell ref="A77:J77"/>
    <mergeCell ref="A34:J34"/>
    <mergeCell ref="F45:G45"/>
    <mergeCell ref="A48:J48"/>
    <mergeCell ref="I53:J53"/>
    <mergeCell ref="A73:J73"/>
    <mergeCell ref="A82:J82"/>
    <mergeCell ref="I56:J56"/>
    <mergeCell ref="I58:J58"/>
    <mergeCell ref="G67:J67"/>
    <mergeCell ref="E32:G32"/>
    <mergeCell ref="A1:J1"/>
    <mergeCell ref="G70:J70"/>
    <mergeCell ref="A79:J79"/>
    <mergeCell ref="I55:J55"/>
    <mergeCell ref="E37:G37"/>
    <mergeCell ref="A78:J78"/>
    <mergeCell ref="E29:G29"/>
    <mergeCell ref="I52:J52"/>
    <mergeCell ref="A41:J41"/>
    <mergeCell ref="G66:J66"/>
    <mergeCell ref="F43:G43"/>
    <mergeCell ref="A80:J80"/>
    <mergeCell ref="A75:J75"/>
    <mergeCell ref="I51:J51"/>
    <mergeCell ref="G69:J69"/>
    <mergeCell ref="I59:J59"/>
    <mergeCell ref="G68:J68"/>
    <mergeCell ref="A26:J26"/>
    <mergeCell ref="I50:J50"/>
    <mergeCell ref="A2:J2"/>
    <mergeCell ref="F44:G44"/>
    <mergeCell ref="I60:J60"/>
    <mergeCell ref="A76:J76"/>
    <mergeCell ref="G65:J6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2026-05-11T18:12:00Z</dcterms:created>
  <dcterms:modified xmlns:dcterms="http://purl.org/dc/terms/" xmlns:xsi="http://www.w3.org/2001/XMLSchema-instance" xsi:type="dcterms:W3CDTF">2026-05-17T20:49:27Z</dcterms:modified>
  <cp:lastModifiedBy>luisvargas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E0FBFD91942775F6D27C036A4458D023_42</vt:lpwstr>
  </property>
  <property name="KSOProductBuildVer" fmtid="{D5CDD505-2E9C-101B-9397-08002B2CF9AE}" pid="4">
    <vt:lpwstr xmlns:vt="http://schemas.openxmlformats.org/officeDocument/2006/docPropsVTypes">2058-12.1.25880.25880</vt:lpwstr>
  </property>
</Properties>
</file>