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 Diario" sheetId="1" state="visible" r:id="rId1"/>
    <sheet name="Detalle por Cuenta" sheetId="2" state="visible" r:id="rId2"/>
    <sheet name="Top Productos" sheetId="3" state="visible" r:id="rId3"/>
    <sheet name="Devoluciones" sheetId="4" state="visible" r:id="rId4"/>
    <sheet name="Gráfic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(#,##0);&quot;-&quot;"/>
    <numFmt numFmtId="165" formatCode="&quot;$&quot;#,##0.00;[Red](&quot;$&quot;#,##0.00);&quot;-&quot;"/>
    <numFmt numFmtId="166" formatCode="0.0%;[Red](0.0%);&quot;-&quot;"/>
  </numFmts>
  <fonts count="2">
    <font>
      <name val="Calibri"/>
      <family val="2"/>
      <color theme="1"/>
      <sz val="11"/>
      <scheme val="minor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Bruto vs NET Diario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Diario'!D1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</f>
            </numRef>
          </cat>
          <val>
            <numRef>
              <f>'Resumen Diario'!$D$2</f>
            </numRef>
          </val>
        </ser>
        <ser>
          <idx val="1"/>
          <order val="1"/>
          <tx>
            <strRef>
              <f>'Resumen Diario'!K1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Diario'!$A$2</f>
            </numRef>
          </cat>
          <val>
            <numRef>
              <f>'Resumen Diario'!$K$2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MXN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por cuenta — 2026-04-24</a:t>
            </a:r>
          </a:p>
        </rich>
      </tx>
    </title>
    <plotArea>
      <pieChart>
        <varyColors val="1"/>
        <ser>
          <idx val="0"/>
          <order val="0"/>
          <tx>
            <strRef>
              <f>'Gráficas'!B22</f>
            </strRef>
          </tx>
          <spPr>
            <a:ln>
              <a:prstDash val="solid"/>
            </a:ln>
          </spPr>
          <cat>
            <numRef>
              <f>'Gráficas'!$A$23:$A$24</f>
            </numRef>
          </cat>
          <val>
            <numRef>
              <f>'Gráficas'!$B$23:$B$24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productos — 2026-04-24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'Gráficas'!B40</f>
            </strRef>
          </tx>
          <spPr>
            <a:ln>
              <a:prstDash val="solid"/>
            </a:ln>
          </spPr>
          <cat>
            <numRef>
              <f>'Gráficas'!$A$41:$A$43</f>
            </numRef>
          </cat>
          <val>
            <numRef>
              <f>'Gráficas'!$B$41:$B$43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0</row>
      <rowOff>0</rowOff>
    </from>
    <ext cx="54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Fecha</t>
        </is>
      </c>
      <c r="B1" s="1" t="inlineStr">
        <is>
          <t>Órdenes</t>
        </is>
      </c>
      <c r="C1" s="1" t="inlineStr">
        <is>
          <t>Unidades</t>
        </is>
      </c>
      <c r="D1" s="1" t="inlineStr">
        <is>
          <t>Bruto</t>
        </is>
      </c>
      <c r="E1" s="1" t="inlineStr">
        <is>
          <t>Comisión MELI</t>
        </is>
      </c>
      <c r="F1" s="1" t="inlineStr">
        <is>
          <t>Envío Seller</t>
        </is>
      </c>
      <c r="G1" s="1" t="inlineStr">
        <is>
          <t>IVA Remite</t>
        </is>
      </c>
      <c r="H1" s="1" t="inlineStr">
        <is>
          <t>Devoluciones $</t>
        </is>
      </c>
      <c r="I1" s="1" t="inlineStr">
        <is>
          <t>Devoluciones #</t>
        </is>
      </c>
      <c r="J1" s="1" t="inlineStr">
        <is>
          <t>NET (sin IVA)</t>
        </is>
      </c>
      <c r="K1" s="1" t="inlineStr">
        <is>
          <t>NET (post IVA)</t>
        </is>
      </c>
      <c r="L1" s="1" t="inlineStr">
        <is>
          <t>Margen %</t>
        </is>
      </c>
    </row>
    <row r="2">
      <c r="A2" t="inlineStr">
        <is>
          <t>2026-04-24</t>
        </is>
      </c>
      <c r="B2" s="2" t="n">
        <v>30</v>
      </c>
      <c r="C2" s="2" t="n">
        <v>30</v>
      </c>
      <c r="D2" s="3" t="n">
        <v>16770</v>
      </c>
      <c r="E2" s="3" t="n">
        <v>2391.419999999999</v>
      </c>
      <c r="F2" s="3" t="n">
        <v>2491</v>
      </c>
      <c r="G2" s="3" t="n">
        <v>2313.103448275861</v>
      </c>
      <c r="H2" s="3" t="n">
        <v>599</v>
      </c>
      <c r="I2" s="2" t="n">
        <v>1</v>
      </c>
      <c r="J2" s="3">
        <f>D2-E2-F2</f>
        <v/>
      </c>
      <c r="K2" s="3">
        <f>J2-G2</f>
        <v/>
      </c>
      <c r="L2" s="4">
        <f>IFERROR(K2/D2,0)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Fecha</t>
        </is>
      </c>
      <c r="B1" s="1" t="inlineStr">
        <is>
          <t>Cuenta</t>
        </is>
      </c>
      <c r="C1" s="1" t="inlineStr">
        <is>
          <t>Nickname</t>
        </is>
      </c>
      <c r="D1" s="1" t="inlineStr">
        <is>
          <t>Órdenes</t>
        </is>
      </c>
      <c r="E1" s="1" t="inlineStr">
        <is>
          <t>Unidades</t>
        </is>
      </c>
      <c r="F1" s="1" t="inlineStr">
        <is>
          <t>Bruto</t>
        </is>
      </c>
      <c r="G1" s="1" t="inlineStr">
        <is>
          <t>Comisión</t>
        </is>
      </c>
      <c r="H1" s="1" t="inlineStr">
        <is>
          <t>Envío</t>
        </is>
      </c>
      <c r="I1" s="1" t="inlineStr">
        <is>
          <t>IVA</t>
        </is>
      </c>
      <c r="J1" s="1" t="inlineStr">
        <is>
          <t>Devoluciones $</t>
        </is>
      </c>
      <c r="K1" s="1" t="inlineStr">
        <is>
          <t>NET</t>
        </is>
      </c>
      <c r="L1" s="1" t="inlineStr">
        <is>
          <t>Margen %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HFCBHDGAE33468</t>
        </is>
      </c>
      <c r="D2" s="2" t="n">
        <v>27</v>
      </c>
      <c r="E2" s="2" t="n">
        <v>27</v>
      </c>
      <c r="F2" s="3" t="n">
        <v>15873</v>
      </c>
      <c r="G2" s="3" t="n">
        <v>2301.719999999999</v>
      </c>
      <c r="H2" s="3" t="n">
        <v>1791</v>
      </c>
      <c r="I2" s="3" t="n">
        <v>2189.379310344826</v>
      </c>
      <c r="J2" s="3" t="n">
        <v>599</v>
      </c>
      <c r="K2" s="3">
        <f>F2-G2-H2</f>
        <v/>
      </c>
      <c r="L2" s="4">
        <f>IFERROR(K2/F2,0)</f>
        <v/>
      </c>
    </row>
    <row r="3">
      <c r="A3" t="inlineStr">
        <is>
          <t>2026-04-24</t>
        </is>
      </c>
      <c r="B3" t="inlineStr">
        <is>
          <t>RAYMUNDO</t>
        </is>
      </c>
      <c r="C3" t="inlineStr">
        <is>
          <t>RG20260415180857</t>
        </is>
      </c>
      <c r="D3" s="2" t="n">
        <v>3</v>
      </c>
      <c r="E3" s="2" t="n">
        <v>3</v>
      </c>
      <c r="F3" s="3" t="n">
        <v>897</v>
      </c>
      <c r="G3" s="3" t="n">
        <v>89.69999999999999</v>
      </c>
      <c r="H3" s="3" t="n">
        <v>700</v>
      </c>
      <c r="I3" s="3" t="n">
        <v>123.7241379310344</v>
      </c>
      <c r="J3" s="3" t="n">
        <v>0</v>
      </c>
      <c r="K3" s="3">
        <f>F3-G3-H3</f>
        <v/>
      </c>
      <c r="L3" s="4">
        <f>IFERROR(K3/F3,0)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2" customWidth="1" min="1" max="1"/>
    <col width="60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Fecha</t>
        </is>
      </c>
      <c r="B1" s="1" t="inlineStr">
        <is>
          <t>Producto</t>
        </is>
      </c>
      <c r="C1" s="1" t="inlineStr">
        <is>
          <t>Cuenta</t>
        </is>
      </c>
      <c r="D1" s="1" t="inlineStr">
        <is>
          <t>Unidades</t>
        </is>
      </c>
      <c r="E1" s="1" t="inlineStr">
        <is>
          <t>Revenue</t>
        </is>
      </c>
    </row>
    <row r="2">
      <c r="A2" t="inlineStr">
        <is>
          <t>2026-04-24</t>
        </is>
      </c>
      <c r="B2" t="inlineStr">
        <is>
          <t>Bocina Jbl Go 4 Bluetooth Portatil Ip67 Nueva Original Color</t>
        </is>
      </c>
      <c r="C2" t="inlineStr">
        <is>
          <t>JUAN</t>
        </is>
      </c>
      <c r="D2" s="2" t="n">
        <v>27</v>
      </c>
      <c r="E2" s="3" t="n">
        <v>15873</v>
      </c>
    </row>
    <row r="3">
      <c r="A3" t="inlineStr">
        <is>
          <t>2026-04-24</t>
        </is>
      </c>
      <c r="B3" t="inlineStr">
        <is>
          <t>Bocina Jbl Go 4 Sumergible Ip67 Bluetooth Bass 7h Seminueva</t>
        </is>
      </c>
      <c r="C3" t="inlineStr">
        <is>
          <t>RAYMUNDO</t>
        </is>
      </c>
      <c r="D3" s="2" t="n">
        <v>2</v>
      </c>
      <c r="E3" s="3" t="n">
        <v>598</v>
      </c>
    </row>
    <row r="4">
      <c r="A4" t="inlineStr">
        <is>
          <t>2026-04-24</t>
        </is>
      </c>
      <c r="B4" t="inlineStr">
        <is>
          <t>Bocina Jbl Go 4 Bluetooth Portatil Ip67 - Usada</t>
        </is>
      </c>
      <c r="C4" t="inlineStr">
        <is>
          <t>RAYMUNDO</t>
        </is>
      </c>
      <c r="D4" s="2" t="n">
        <v>1</v>
      </c>
      <c r="E4" s="3" t="n">
        <v>299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50" customWidth="1" min="4" max="4"/>
    <col width="12" customWidth="1" min="5" max="5"/>
    <col width="14" customWidth="1" min="6" max="6"/>
  </cols>
  <sheetData>
    <row r="1">
      <c r="A1" s="1" t="inlineStr">
        <is>
          <t>Fecha</t>
        </is>
      </c>
      <c r="B1" s="1" t="inlineStr">
        <is>
          <t>Cuenta</t>
        </is>
      </c>
      <c r="C1" s="1" t="inlineStr">
        <is>
          <t>Order ID</t>
        </is>
      </c>
      <c r="D1" s="1" t="inlineStr">
        <is>
          <t>Producto</t>
        </is>
      </c>
      <c r="E1" s="1" t="inlineStr">
        <is>
          <t>Monto</t>
        </is>
      </c>
      <c r="F1" s="1" t="inlineStr">
        <is>
          <t>Razón</t>
        </is>
      </c>
    </row>
    <row r="2">
      <c r="A2" t="inlineStr">
        <is>
          <t>2026-04-24</t>
        </is>
      </c>
      <c r="B2" t="inlineStr">
        <is>
          <t>JUAN</t>
        </is>
      </c>
      <c r="C2" t="inlineStr">
        <is>
          <t>2000016126328170</t>
        </is>
      </c>
      <c r="D2" t="inlineStr">
        <is>
          <t>Bocina Jbl Go 4 Bluetooth Portatil Ip67 Nueva Original Color</t>
        </is>
      </c>
      <c r="E2" s="3" t="n">
        <v>599</v>
      </c>
      <c r="F2" t="inlineStr">
        <is>
          <t>cancelled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2:B43"/>
  <sheetViews>
    <sheetView workbookViewId="0">
      <selection activeCell="A1" sqref="A1"/>
    </sheetView>
  </sheetViews>
  <sheetFormatPr baseColWidth="8" defaultRowHeight="15"/>
  <cols>
    <col width="50" customWidth="1" min="1" max="1"/>
    <col width="14" customWidth="1" min="2" max="2"/>
  </cols>
  <sheetData>
    <row r="22">
      <c r="A22" t="inlineStr">
        <is>
          <t>Cuenta</t>
        </is>
      </c>
      <c r="B22" t="inlineStr">
        <is>
          <t>NET</t>
        </is>
      </c>
    </row>
    <row r="23">
      <c r="A23" t="inlineStr">
        <is>
          <t>JUAN</t>
        </is>
      </c>
      <c r="B23">
        <f>F2-G2-H2</f>
        <v/>
      </c>
    </row>
    <row r="24">
      <c r="A24" t="inlineStr">
        <is>
          <t>RAYMUNDO</t>
        </is>
      </c>
      <c r="B24">
        <f>F3-G3-H3</f>
        <v/>
      </c>
    </row>
    <row r="40">
      <c r="A40" t="inlineStr">
        <is>
          <t>Producto</t>
        </is>
      </c>
      <c r="B40" t="inlineStr">
        <is>
          <t>Revenue</t>
        </is>
      </c>
    </row>
    <row r="41">
      <c r="A41" t="inlineStr">
        <is>
          <t>Bocina Jbl Go 4 Bluetooth Portatil Ip67 Nueva Original Color</t>
        </is>
      </c>
      <c r="B41" t="n">
        <v>15873</v>
      </c>
    </row>
    <row r="42">
      <c r="A42" t="inlineStr">
        <is>
          <t>Bocina Jbl Go 4 Sumergible Ip67 Bluetooth Bass 7h Seminueva</t>
        </is>
      </c>
      <c r="B42" t="n">
        <v>598</v>
      </c>
    </row>
    <row r="43">
      <c r="A43" t="inlineStr">
        <is>
          <t>Bocina Jbl Go 4 Bluetooth Portatil Ip67 - Usada</t>
        </is>
      </c>
      <c r="B43" t="n">
        <v>299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2026-04-26T01:27:19Z</dcterms:created>
  <dcterms:modified xsi:type="dcterms:W3CDTF">2026-04-26T01:27:19Z</dcterms:modified>
</cp:coreProperties>
</file>