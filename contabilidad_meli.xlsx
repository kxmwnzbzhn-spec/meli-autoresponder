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Diario" sheetId="1" state="visible" r:id="rId1"/>
    <sheet name="Detalle por Cuenta" sheetId="2" state="visible" r:id="rId2"/>
    <sheet name="Top Productos" sheetId="3" state="visible" r:id="rId3"/>
    <sheet name="Devoluciones" sheetId="4" state="visible" r:id="rId4"/>
    <sheet name="Gráficas" sheetId="5" state="visible" r:id="rId5"/>
    <sheet name="Mensual 2026-04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(#,##0);&quot;-&quot;"/>
    <numFmt numFmtId="165" formatCode="&quot;$&quot;#,##0.00;[Red](&quot;$&quot;#,##0.00);&quot;-&quot;"/>
    <numFmt numFmtId="166" formatCode="0.0%;[Red](0.0%);&quot;-&quot;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b val="1"/>
      <color rgb="001F4E78"/>
      <sz val="14"/>
    </font>
    <font>
      <b val="1"/>
    </font>
    <font>
      <b val="1"/>
      <color rgb="001F4E78"/>
      <sz val="12"/>
    </font>
    <font>
      <b val="1"/>
      <color rgb="00C00000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Bruto vs NET Diario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Diario'!D1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Diario'!$A$2:$A$3</f>
            </numRef>
          </cat>
          <val>
            <numRef>
              <f>'Resumen Diario'!$D$2:$D$3</f>
            </numRef>
          </val>
        </ser>
        <ser>
          <idx val="1"/>
          <order val="1"/>
          <tx>
            <strRef>
              <f>'Resumen Diario'!K1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Diario'!$A$2:$A$3</f>
            </numRef>
          </cat>
          <val>
            <numRef>
              <f>'Resumen Diario'!$K$2:$K$3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MXN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por cuenta — 2026-04-25</a:t>
            </a:r>
          </a:p>
        </rich>
      </tx>
    </title>
    <plotArea>
      <pieChart>
        <varyColors val="1"/>
        <ser>
          <idx val="0"/>
          <order val="0"/>
          <tx>
            <strRef>
              <f>'Gráficas'!B22</f>
            </strRef>
          </tx>
          <spPr>
            <a:ln>
              <a:prstDash val="solid"/>
            </a:ln>
          </spPr>
          <cat>
            <numRef>
              <f>'Gráficas'!$A$23:$A$24</f>
            </numRef>
          </cat>
          <val>
            <numRef>
              <f>'Gráficas'!$B$23:$B$24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productos — 2026-04-25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'Gráficas'!B40</f>
            </strRef>
          </tx>
          <spPr>
            <a:ln>
              <a:prstDash val="solid"/>
            </a:ln>
          </spPr>
          <cat>
            <numRef>
              <f>'Gráficas'!$A$41:$A$50</f>
            </numRef>
          </cat>
          <val>
            <numRef>
              <f>'Gráficas'!$B$41:$B$50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Producto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Bocinas por modelo — 2026-04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'Mensual 2026-04'!D25</f>
            </strRef>
          </tx>
          <spPr>
            <a:ln>
              <a:prstDash val="solid"/>
            </a:ln>
          </spPr>
          <cat>
            <numRef>
              <f>'Mensual 2026-04'!$A$26:$A$30</f>
            </numRef>
          </cat>
          <val>
            <numRef>
              <f>'Mensual 2026-04'!$D$26:$D$30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0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Fecha</t>
        </is>
      </c>
      <c r="B1" s="1" t="inlineStr">
        <is>
          <t>Órdenes</t>
        </is>
      </c>
      <c r="C1" s="1" t="inlineStr">
        <is>
          <t>Unidades</t>
        </is>
      </c>
      <c r="D1" s="1" t="inlineStr">
        <is>
          <t>Bruto</t>
        </is>
      </c>
      <c r="E1" s="1" t="inlineStr">
        <is>
          <t>Comisión MELI</t>
        </is>
      </c>
      <c r="F1" s="1" t="inlineStr">
        <is>
          <t>Envío Seller</t>
        </is>
      </c>
      <c r="G1" s="1" t="inlineStr">
        <is>
          <t>IVA Remite</t>
        </is>
      </c>
      <c r="H1" s="1" t="inlineStr">
        <is>
          <t>Devoluciones $</t>
        </is>
      </c>
      <c r="I1" s="1" t="inlineStr">
        <is>
          <t>Devoluciones #</t>
        </is>
      </c>
      <c r="J1" s="1" t="inlineStr">
        <is>
          <t>NET (sin IVA)</t>
        </is>
      </c>
      <c r="K1" s="1" t="inlineStr">
        <is>
          <t>NET (post IVA)</t>
        </is>
      </c>
      <c r="L1" s="1" t="inlineStr">
        <is>
          <t>Margen %</t>
        </is>
      </c>
    </row>
    <row r="2">
      <c r="A2" t="inlineStr">
        <is>
          <t>2026-04-24</t>
        </is>
      </c>
      <c r="B2" s="2" t="n">
        <v>30</v>
      </c>
      <c r="C2" s="2" t="n">
        <v>30</v>
      </c>
      <c r="D2" s="3" t="n">
        <v>16770</v>
      </c>
      <c r="E2" s="3" t="n">
        <v>2391.419999999999</v>
      </c>
      <c r="F2" s="3" t="n">
        <v>2491</v>
      </c>
      <c r="G2" s="3" t="n">
        <v>2313.103448275861</v>
      </c>
      <c r="H2" s="3" t="n">
        <v>599</v>
      </c>
      <c r="I2" s="2" t="n">
        <v>1</v>
      </c>
      <c r="J2" s="3">
        <f>D2-E2-F2</f>
        <v/>
      </c>
      <c r="K2" s="3">
        <f>J2-G2</f>
        <v/>
      </c>
      <c r="L2" s="4">
        <f>IFERROR(K2/D2,0)</f>
        <v/>
      </c>
    </row>
    <row r="3">
      <c r="A3" t="inlineStr">
        <is>
          <t>2026-04-25</t>
        </is>
      </c>
      <c r="B3" s="2" t="n">
        <v>115</v>
      </c>
      <c r="C3" s="2" t="n">
        <v>115</v>
      </c>
      <c r="D3" s="3" t="n">
        <v>83292</v>
      </c>
      <c r="E3" s="3" t="n">
        <v>10568.16999999999</v>
      </c>
      <c r="F3" s="3" t="n">
        <v>8204.199999999995</v>
      </c>
      <c r="G3" s="3" t="n">
        <v>11488.55172413792</v>
      </c>
      <c r="H3" s="3" t="n">
        <v>0</v>
      </c>
      <c r="I3" s="2" t="n">
        <v>0</v>
      </c>
      <c r="J3" s="3">
        <f>D3-E3-F3</f>
        <v/>
      </c>
      <c r="K3" s="3">
        <f>J3-G3</f>
        <v/>
      </c>
      <c r="L3" s="4">
        <f>IFERROR(K3/D3,0)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Fecha</t>
        </is>
      </c>
      <c r="B1" s="1" t="inlineStr">
        <is>
          <t>Cuenta</t>
        </is>
      </c>
      <c r="C1" s="1" t="inlineStr">
        <is>
          <t>Nickname</t>
        </is>
      </c>
      <c r="D1" s="1" t="inlineStr">
        <is>
          <t>Órdenes</t>
        </is>
      </c>
      <c r="E1" s="1" t="inlineStr">
        <is>
          <t>Unidades</t>
        </is>
      </c>
      <c r="F1" s="1" t="inlineStr">
        <is>
          <t>Bruto</t>
        </is>
      </c>
      <c r="G1" s="1" t="inlineStr">
        <is>
          <t>Comisión</t>
        </is>
      </c>
      <c r="H1" s="1" t="inlineStr">
        <is>
          <t>Envío</t>
        </is>
      </c>
      <c r="I1" s="1" t="inlineStr">
        <is>
          <t>IVA</t>
        </is>
      </c>
      <c r="J1" s="1" t="inlineStr">
        <is>
          <t>Devoluciones $</t>
        </is>
      </c>
      <c r="K1" s="1" t="inlineStr">
        <is>
          <t>NET</t>
        </is>
      </c>
      <c r="L1" s="1" t="inlineStr">
        <is>
          <t>Margen %</t>
        </is>
      </c>
    </row>
    <row r="2">
      <c r="A2" t="inlineStr">
        <is>
          <t>2026-04-24</t>
        </is>
      </c>
      <c r="B2" t="inlineStr">
        <is>
          <t>JUAN</t>
        </is>
      </c>
      <c r="C2" t="inlineStr">
        <is>
          <t>HFCBHDGAE33468</t>
        </is>
      </c>
      <c r="D2" s="2" t="n">
        <v>27</v>
      </c>
      <c r="E2" s="2" t="n">
        <v>27</v>
      </c>
      <c r="F2" s="3" t="n">
        <v>15873</v>
      </c>
      <c r="G2" s="3" t="n">
        <v>2301.719999999999</v>
      </c>
      <c r="H2" s="3" t="n">
        <v>1791</v>
      </c>
      <c r="I2" s="3" t="n">
        <v>2189.379310344826</v>
      </c>
      <c r="J2" s="3" t="n">
        <v>599</v>
      </c>
      <c r="K2" s="3">
        <f>F2-G2-H2</f>
        <v/>
      </c>
      <c r="L2" s="4">
        <f>IFERROR(K2/F2,0)</f>
        <v/>
      </c>
    </row>
    <row r="3">
      <c r="A3" t="inlineStr">
        <is>
          <t>2026-04-24</t>
        </is>
      </c>
      <c r="B3" t="inlineStr">
        <is>
          <t>RAYMUNDO</t>
        </is>
      </c>
      <c r="C3" t="inlineStr">
        <is>
          <t>RG20260415180857</t>
        </is>
      </c>
      <c r="D3" s="2" t="n">
        <v>3</v>
      </c>
      <c r="E3" s="2" t="n">
        <v>3</v>
      </c>
      <c r="F3" s="3" t="n">
        <v>897</v>
      </c>
      <c r="G3" s="3" t="n">
        <v>89.69999999999999</v>
      </c>
      <c r="H3" s="3" t="n">
        <v>700</v>
      </c>
      <c r="I3" s="3" t="n">
        <v>123.7241379310344</v>
      </c>
      <c r="J3" s="3" t="n">
        <v>0</v>
      </c>
      <c r="K3" s="3">
        <f>F3-G3-H3</f>
        <v/>
      </c>
      <c r="L3" s="4">
        <f>IFERROR(K3/F3,0)</f>
        <v/>
      </c>
    </row>
    <row r="4">
      <c r="A4" t="inlineStr">
        <is>
          <t>2026-04-25</t>
        </is>
      </c>
      <c r="B4" t="inlineStr">
        <is>
          <t>JUAN</t>
        </is>
      </c>
      <c r="C4" t="inlineStr">
        <is>
          <t>HFCBHDGAE33468</t>
        </is>
      </c>
      <c r="D4" s="2" t="n">
        <v>20</v>
      </c>
      <c r="E4" s="2" t="n">
        <v>20</v>
      </c>
      <c r="F4" s="3" t="n">
        <v>11910</v>
      </c>
      <c r="G4" s="3" t="n">
        <v>1703.239999999999</v>
      </c>
      <c r="H4" s="3" t="n">
        <v>1517.6</v>
      </c>
      <c r="I4" s="3" t="n">
        <v>1642.758620689654</v>
      </c>
      <c r="J4" s="3" t="n">
        <v>0</v>
      </c>
      <c r="K4" s="3">
        <f>F4-G4-H4</f>
        <v/>
      </c>
      <c r="L4" s="4">
        <f>IFERROR(K4/F4,0)</f>
        <v/>
      </c>
    </row>
    <row r="5">
      <c r="A5" t="inlineStr">
        <is>
          <t>2026-04-25</t>
        </is>
      </c>
      <c r="B5" t="inlineStr">
        <is>
          <t>CLARIBEL</t>
        </is>
      </c>
      <c r="C5" t="inlineStr">
        <is>
          <t>CX20260420180750</t>
        </is>
      </c>
      <c r="D5" s="2" t="n">
        <v>95</v>
      </c>
      <c r="E5" s="2" t="n">
        <v>95</v>
      </c>
      <c r="F5" s="3" t="n">
        <v>71382</v>
      </c>
      <c r="G5" s="3" t="n">
        <v>8864.929999999995</v>
      </c>
      <c r="H5" s="3" t="n">
        <v>6686.599999999996</v>
      </c>
      <c r="I5" s="3" t="n">
        <v>9845.793103448268</v>
      </c>
      <c r="J5" s="3" t="n">
        <v>0</v>
      </c>
      <c r="K5" s="3">
        <f>F5-G5-H5</f>
        <v/>
      </c>
      <c r="L5" s="4">
        <f>IFERROR(K5/F5,0)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12" customWidth="1" min="4" max="4"/>
    <col width="14" customWidth="1" min="5" max="5"/>
  </cols>
  <sheetData>
    <row r="1">
      <c r="A1" s="1" t="inlineStr">
        <is>
          <t>Fecha</t>
        </is>
      </c>
      <c r="B1" s="1" t="inlineStr">
        <is>
          <t>Producto</t>
        </is>
      </c>
      <c r="C1" s="1" t="inlineStr">
        <is>
          <t>Cuenta</t>
        </is>
      </c>
      <c r="D1" s="1" t="inlineStr">
        <is>
          <t>Unidades</t>
        </is>
      </c>
      <c r="E1" s="1" t="inlineStr">
        <is>
          <t>Revenue</t>
        </is>
      </c>
    </row>
    <row r="2">
      <c r="A2" t="inlineStr">
        <is>
          <t>2026-04-24</t>
        </is>
      </c>
      <c r="B2" t="inlineStr">
        <is>
          <t>Bocina Jbl Go 4 Bluetooth Portatil Ip67 Nueva Original Color</t>
        </is>
      </c>
      <c r="C2" t="inlineStr">
        <is>
          <t>JUAN</t>
        </is>
      </c>
      <c r="D2" s="2" t="n">
        <v>27</v>
      </c>
      <c r="E2" s="3" t="n">
        <v>15873</v>
      </c>
    </row>
    <row r="3">
      <c r="A3" t="inlineStr">
        <is>
          <t>2026-04-24</t>
        </is>
      </c>
      <c r="B3" t="inlineStr">
        <is>
          <t>Bocina Jbl Go 4 Sumergible Ip67 Bluetooth Bass 7h Seminueva</t>
        </is>
      </c>
      <c r="C3" t="inlineStr">
        <is>
          <t>RAYMUNDO</t>
        </is>
      </c>
      <c r="D3" s="2" t="n">
        <v>2</v>
      </c>
      <c r="E3" s="3" t="n">
        <v>598</v>
      </c>
    </row>
    <row r="4">
      <c r="A4" t="inlineStr">
        <is>
          <t>2026-04-24</t>
        </is>
      </c>
      <c r="B4" t="inlineStr">
        <is>
          <t>Bocina Jbl Go 4 Bluetooth Portatil Ip67 - Usada</t>
        </is>
      </c>
      <c r="C4" t="inlineStr">
        <is>
          <t>RAYMUNDO</t>
        </is>
      </c>
      <c r="D4" s="2" t="n">
        <v>1</v>
      </c>
      <c r="E4" s="3" t="n">
        <v>299</v>
      </c>
    </row>
    <row r="5">
      <c r="A5" t="inlineStr">
        <is>
          <t>2026-04-25</t>
        </is>
      </c>
      <c r="B5" t="inlineStr">
        <is>
          <t>Parlante Bluetooth Jbl Flip 7 Resistente Al Agua Y Polvo Ip6</t>
        </is>
      </c>
      <c r="C5" t="inlineStr">
        <is>
          <t>CLARIBEL</t>
        </is>
      </c>
      <c r="D5" s="2" t="n">
        <v>23</v>
      </c>
      <c r="E5" s="3" t="n">
        <v>29877</v>
      </c>
    </row>
    <row r="6">
      <c r="A6" t="inlineStr">
        <is>
          <t>2026-04-25</t>
        </is>
      </c>
      <c r="B6" t="inlineStr">
        <is>
          <t>Bocina Jbl Go 4 Bluetooth Portatil Ip67 Nueva Original Color</t>
        </is>
      </c>
      <c r="C6" t="inlineStr">
        <is>
          <t>JUAN</t>
        </is>
      </c>
      <c r="D6" s="2" t="n">
        <v>19</v>
      </c>
      <c r="E6" s="3" t="n">
        <v>11381</v>
      </c>
    </row>
    <row r="7">
      <c r="A7" t="inlineStr">
        <is>
          <t>2026-04-25</t>
        </is>
      </c>
      <c r="B7" t="inlineStr">
        <is>
          <t>Bocina Jbl Grip Bluetooth Portátil Ip68 14 H Batería Negro</t>
        </is>
      </c>
      <c r="C7" t="inlineStr">
        <is>
          <t>CLARIBEL</t>
        </is>
      </c>
      <c r="D7" s="2" t="n">
        <v>10</v>
      </c>
      <c r="E7" s="3" t="n">
        <v>9660</v>
      </c>
    </row>
    <row r="8">
      <c r="A8" t="inlineStr">
        <is>
          <t>2026-04-25</t>
        </is>
      </c>
      <c r="B8" t="inlineStr">
        <is>
          <t>Bocina Jbl Go 4 Jblgo4 Portátil Con Bluetooth Waterproof Roj</t>
        </is>
      </c>
      <c r="C8" t="inlineStr">
        <is>
          <t>CLARIBEL</t>
        </is>
      </c>
      <c r="D8" s="2" t="n">
        <v>15</v>
      </c>
      <c r="E8" s="3" t="n">
        <v>7505</v>
      </c>
    </row>
    <row r="9">
      <c r="A9" t="inlineStr">
        <is>
          <t>2026-04-25</t>
        </is>
      </c>
      <c r="B9" t="inlineStr">
        <is>
          <t>Bocina Jbl Go 4 Jblgo4 Portátil Con Bluetooth Waterproof Cel</t>
        </is>
      </c>
      <c r="C9" t="inlineStr">
        <is>
          <t>CLARIBEL</t>
        </is>
      </c>
      <c r="D9" s="2" t="n">
        <v>14</v>
      </c>
      <c r="E9" s="3" t="n">
        <v>6706</v>
      </c>
    </row>
    <row r="10">
      <c r="A10" t="inlineStr">
        <is>
          <t>2026-04-25</t>
        </is>
      </c>
      <c r="B10" t="inlineStr">
        <is>
          <t>Bocina Portátil Jbl Go 4 Bluetooth, Camuflaje. Color Camufla</t>
        </is>
      </c>
      <c r="C10" t="inlineStr">
        <is>
          <t>CLARIBEL</t>
        </is>
      </c>
      <c r="D10" s="2" t="n">
        <v>8</v>
      </c>
      <c r="E10" s="3" t="n">
        <v>4614</v>
      </c>
    </row>
    <row r="11">
      <c r="A11" t="inlineStr">
        <is>
          <t>2026-04-25</t>
        </is>
      </c>
      <c r="B11" t="inlineStr">
        <is>
          <t>Parlante Bluetooth Jbl Go 4 Portátil Rosa</t>
        </is>
      </c>
      <c r="C11" t="inlineStr">
        <is>
          <t>CLARIBEL</t>
        </is>
      </c>
      <c r="D11" s="2" t="n">
        <v>5</v>
      </c>
      <c r="E11" s="3" t="n">
        <v>2495</v>
      </c>
    </row>
    <row r="12">
      <c r="A12" t="inlineStr">
        <is>
          <t>2026-04-25</t>
        </is>
      </c>
      <c r="B12" t="inlineStr">
        <is>
          <t>Bocina Jbl Go 4 Jblgo4 Portátil Con Bluetooth Waterproof Azu</t>
        </is>
      </c>
      <c r="C12" t="inlineStr">
        <is>
          <t>CLARIBEL</t>
        </is>
      </c>
      <c r="D12" s="2" t="n">
        <v>4</v>
      </c>
      <c r="E12" s="3" t="n">
        <v>2396</v>
      </c>
    </row>
    <row r="13">
      <c r="A13" t="inlineStr">
        <is>
          <t>2026-04-25</t>
        </is>
      </c>
      <c r="B13" t="inlineStr">
        <is>
          <t>Armaf Delight Island Bliss Edp 100 Ml Para Mujer</t>
        </is>
      </c>
      <c r="C13" t="inlineStr">
        <is>
          <t>CLARIBEL</t>
        </is>
      </c>
      <c r="D13" s="2" t="n">
        <v>5</v>
      </c>
      <c r="E13" s="3" t="n">
        <v>2109</v>
      </c>
    </row>
    <row r="14">
      <c r="A14" t="inlineStr">
        <is>
          <t>2026-04-25</t>
        </is>
      </c>
      <c r="B14" t="inlineStr">
        <is>
          <t>Angel Nova Fruitté Edp Para Mujer</t>
        </is>
      </c>
      <c r="C14" t="inlineStr">
        <is>
          <t>CLARIBEL</t>
        </is>
      </c>
      <c r="D14" s="2" t="n">
        <v>1</v>
      </c>
      <c r="E14" s="3" t="n">
        <v>1743</v>
      </c>
    </row>
    <row r="15">
      <c r="A15" t="inlineStr">
        <is>
          <t>2026-04-25</t>
        </is>
      </c>
      <c r="B15" t="inlineStr">
        <is>
          <t>Altavoz Bluetooth Azul Impermeable Jbl Go4</t>
        </is>
      </c>
      <c r="C15" t="inlineStr">
        <is>
          <t>CLARIBEL</t>
        </is>
      </c>
      <c r="D15" s="2" t="n">
        <v>2</v>
      </c>
      <c r="E15" s="3" t="n">
        <v>998</v>
      </c>
    </row>
    <row r="16">
      <c r="A16" t="inlineStr">
        <is>
          <t>2026-04-25</t>
        </is>
      </c>
      <c r="B16" t="inlineStr">
        <is>
          <t>Armaf Odyssey Mega Man Edición Limitada Edp 100 Ml</t>
        </is>
      </c>
      <c r="C16" t="inlineStr">
        <is>
          <t>CLARIBEL</t>
        </is>
      </c>
      <c r="D16" s="2" t="n">
        <v>3</v>
      </c>
      <c r="E16" s="3" t="n">
        <v>897</v>
      </c>
    </row>
    <row r="17">
      <c r="A17" t="inlineStr">
        <is>
          <t>2026-04-25</t>
        </is>
      </c>
      <c r="B17" t="inlineStr">
        <is>
          <t>Sony Srs-xb100 Altavoz De Viaje Inalámbrico Bluetooth Port C</t>
        </is>
      </c>
      <c r="C17" t="inlineStr">
        <is>
          <t>CLARIBEL</t>
        </is>
      </c>
      <c r="D17" s="2" t="n">
        <v>1</v>
      </c>
      <c r="E17" s="3" t="n">
        <v>690</v>
      </c>
    </row>
    <row r="18">
      <c r="A18" t="inlineStr">
        <is>
          <t>2026-04-25</t>
        </is>
      </c>
      <c r="B18" t="inlineStr">
        <is>
          <t>Bocina Jbl Go 4 Jblgo4 Portátil Con Bluetooth Waterproof Cel</t>
        </is>
      </c>
      <c r="C18" t="inlineStr">
        <is>
          <t>JUAN</t>
        </is>
      </c>
      <c r="D18" s="2" t="n">
        <v>1</v>
      </c>
      <c r="E18" s="3" t="n">
        <v>529</v>
      </c>
    </row>
    <row r="19">
      <c r="A19" t="inlineStr">
        <is>
          <t>2026-04-25</t>
        </is>
      </c>
      <c r="B19" t="inlineStr">
        <is>
          <t>Armaf Club De Nuit Maleka Edp Mujer 105ml</t>
        </is>
      </c>
      <c r="C19" t="inlineStr">
        <is>
          <t>CLARIBEL</t>
        </is>
      </c>
      <c r="D19" s="2" t="n">
        <v>1</v>
      </c>
      <c r="E19" s="3" t="n">
        <v>499</v>
      </c>
    </row>
    <row r="20">
      <c r="A20" t="inlineStr">
        <is>
          <t>2026-04-25</t>
        </is>
      </c>
      <c r="B20" t="inlineStr">
        <is>
          <t>Altavoz Bluetooth Jbl Go 4 Rosa Rosa Chicle</t>
        </is>
      </c>
      <c r="C20" t="inlineStr">
        <is>
          <t>CLARIBEL</t>
        </is>
      </c>
      <c r="D20" s="2" t="n">
        <v>1</v>
      </c>
      <c r="E20" s="3" t="n">
        <v>499</v>
      </c>
    </row>
    <row r="21">
      <c r="A21" t="inlineStr">
        <is>
          <t>2026-04-25</t>
        </is>
      </c>
      <c r="B21" t="inlineStr">
        <is>
          <t>Perfume Lattafa His Confession 100ml Edp Para Caballero</t>
        </is>
      </c>
      <c r="C21" t="inlineStr">
        <is>
          <t>CLARIBEL</t>
        </is>
      </c>
      <c r="D21" s="2" t="n">
        <v>1</v>
      </c>
      <c r="E21" s="3" t="n">
        <v>395</v>
      </c>
    </row>
    <row r="22">
      <c r="A22" t="inlineStr">
        <is>
          <t>2026-04-25</t>
        </is>
      </c>
      <c r="B22" t="inlineStr">
        <is>
          <t>Perfume Armaf Odyssey Spectra Hombre 100ml Eau De Parfum</t>
        </is>
      </c>
      <c r="C22" t="inlineStr">
        <is>
          <t>CLARIBEL</t>
        </is>
      </c>
      <c r="D22" s="2" t="n">
        <v>1</v>
      </c>
      <c r="E22" s="3" t="n">
        <v>299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50" customWidth="1" min="4" max="4"/>
    <col width="12" customWidth="1" min="5" max="5"/>
    <col width="14" customWidth="1" min="6" max="6"/>
  </cols>
  <sheetData>
    <row r="1">
      <c r="A1" s="1" t="inlineStr">
        <is>
          <t>Fecha</t>
        </is>
      </c>
      <c r="B1" s="1" t="inlineStr">
        <is>
          <t>Cuenta</t>
        </is>
      </c>
      <c r="C1" s="1" t="inlineStr">
        <is>
          <t>Order ID</t>
        </is>
      </c>
      <c r="D1" s="1" t="inlineStr">
        <is>
          <t>Producto</t>
        </is>
      </c>
      <c r="E1" s="1" t="inlineStr">
        <is>
          <t>Monto</t>
        </is>
      </c>
      <c r="F1" s="1" t="inlineStr">
        <is>
          <t>Razón</t>
        </is>
      </c>
    </row>
    <row r="2">
      <c r="A2" t="inlineStr">
        <is>
          <t>2026-04-24</t>
        </is>
      </c>
      <c r="B2" t="inlineStr">
        <is>
          <t>JUAN</t>
        </is>
      </c>
      <c r="C2" t="inlineStr">
        <is>
          <t>2000016126328170</t>
        </is>
      </c>
      <c r="D2" t="inlineStr">
        <is>
          <t>Bocina Jbl Go 4 Bluetooth Portatil Ip67 Nueva Original Color</t>
        </is>
      </c>
      <c r="E2" s="3" t="n">
        <v>599</v>
      </c>
      <c r="F2" t="inlineStr">
        <is>
          <t>cancelled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2:B50"/>
  <sheetViews>
    <sheetView workbookViewId="0">
      <selection activeCell="A1" sqref="A1"/>
    </sheetView>
  </sheetViews>
  <sheetFormatPr baseColWidth="8" defaultRowHeight="15"/>
  <cols>
    <col width="50" customWidth="1" min="1" max="1"/>
    <col width="14" customWidth="1" min="2" max="2"/>
  </cols>
  <sheetData>
    <row r="22">
      <c r="A22" t="inlineStr">
        <is>
          <t>Cuenta</t>
        </is>
      </c>
      <c r="B22" t="inlineStr">
        <is>
          <t>NET</t>
        </is>
      </c>
    </row>
    <row r="23">
      <c r="A23" t="inlineStr">
        <is>
          <t>JUAN</t>
        </is>
      </c>
      <c r="B23">
        <f>F4-G4-H4</f>
        <v/>
      </c>
    </row>
    <row r="24">
      <c r="A24" t="inlineStr">
        <is>
          <t>CLARIBEL</t>
        </is>
      </c>
      <c r="B24">
        <f>F5-G5-H5</f>
        <v/>
      </c>
    </row>
    <row r="40">
      <c r="A40" t="inlineStr">
        <is>
          <t>Producto</t>
        </is>
      </c>
      <c r="B40" t="inlineStr">
        <is>
          <t>Revenue</t>
        </is>
      </c>
    </row>
    <row r="41">
      <c r="A41" t="inlineStr">
        <is>
          <t>Parlante Bluetooth Jbl Flip 7 Resistente Al Agua Y Polvo Ip6</t>
        </is>
      </c>
      <c r="B41" t="n">
        <v>29877</v>
      </c>
    </row>
    <row r="42">
      <c r="A42" t="inlineStr">
        <is>
          <t>Bocina Jbl Go 4 Bluetooth Portatil Ip67 Nueva Original Color</t>
        </is>
      </c>
      <c r="B42" t="n">
        <v>11381</v>
      </c>
    </row>
    <row r="43">
      <c r="A43" t="inlineStr">
        <is>
          <t>Bocina Jbl Grip Bluetooth Portátil Ip68 14 H Batería Negro</t>
        </is>
      </c>
      <c r="B43" t="n">
        <v>9660</v>
      </c>
    </row>
    <row r="44">
      <c r="A44" t="inlineStr">
        <is>
          <t>Bocina Jbl Go 4 Jblgo4 Portátil Con Bluetooth Waterproof Roj</t>
        </is>
      </c>
      <c r="B44" t="n">
        <v>7505</v>
      </c>
    </row>
    <row r="45">
      <c r="A45" t="inlineStr">
        <is>
          <t>Bocina Jbl Go 4 Jblgo4 Portátil Con Bluetooth Waterproof Cel</t>
        </is>
      </c>
      <c r="B45" t="n">
        <v>6706</v>
      </c>
    </row>
    <row r="46">
      <c r="A46" t="inlineStr">
        <is>
          <t>Bocina Portátil Jbl Go 4 Bluetooth, Camuflaje. Color Camufla</t>
        </is>
      </c>
      <c r="B46" t="n">
        <v>4614</v>
      </c>
    </row>
    <row r="47">
      <c r="A47" t="inlineStr">
        <is>
          <t>Parlante Bluetooth Jbl Go 4 Portátil Rosa</t>
        </is>
      </c>
      <c r="B47" t="n">
        <v>2495</v>
      </c>
    </row>
    <row r="48">
      <c r="A48" t="inlineStr">
        <is>
          <t>Bocina Jbl Go 4 Jblgo4 Portátil Con Bluetooth Waterproof Azu</t>
        </is>
      </c>
      <c r="B48" t="n">
        <v>2396</v>
      </c>
    </row>
    <row r="49">
      <c r="A49" t="inlineStr">
        <is>
          <t>Armaf Delight Island Bliss Edp 100 Ml Para Mujer</t>
        </is>
      </c>
      <c r="B49" t="n">
        <v>2109</v>
      </c>
    </row>
    <row r="50">
      <c r="A50" t="inlineStr">
        <is>
          <t>Angel Nova Fruitté Edp Para Mujer</t>
        </is>
      </c>
      <c r="B50" t="n">
        <v>1743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</cols>
  <sheetData>
    <row r="1">
      <c r="A1" s="5" t="inlineStr">
        <is>
          <t>📊 CIERRE MENSUAL — 2026-04</t>
        </is>
      </c>
    </row>
    <row r="3">
      <c r="A3" s="1" t="inlineStr">
        <is>
          <t>KPI</t>
        </is>
      </c>
      <c r="B3" s="1" t="inlineStr">
        <is>
          <t>Valor</t>
        </is>
      </c>
    </row>
    <row r="4">
      <c r="A4" s="6" t="inlineStr">
        <is>
          <t>Órdenes Totales</t>
        </is>
      </c>
      <c r="B4" s="7" t="n">
        <v>195</v>
      </c>
    </row>
    <row r="5">
      <c r="A5" s="6" t="inlineStr">
        <is>
          <t>Unidades Vendidas</t>
        </is>
      </c>
      <c r="B5" s="7" t="n">
        <v>196</v>
      </c>
    </row>
    <row r="6">
      <c r="A6" s="6" t="inlineStr">
        <is>
          <t>Bruto</t>
        </is>
      </c>
      <c r="B6" s="8" t="n">
        <v>101056</v>
      </c>
    </row>
    <row r="7">
      <c r="A7" s="6" t="inlineStr">
        <is>
          <t>Comisión MELI</t>
        </is>
      </c>
      <c r="B7" s="8" t="n">
        <v>14232.69</v>
      </c>
    </row>
    <row r="8">
      <c r="A8" s="6" t="inlineStr">
        <is>
          <t>Envío Seller</t>
        </is>
      </c>
      <c r="B8" s="8" t="n">
        <v>18117.8</v>
      </c>
    </row>
    <row r="9">
      <c r="A9" s="6" t="inlineStr">
        <is>
          <t>IVA Remite</t>
        </is>
      </c>
      <c r="B9" s="8" t="n">
        <v>13938.75862068965</v>
      </c>
    </row>
    <row r="10">
      <c r="A10" s="6" t="inlineStr">
        <is>
          <t>Devoluciones #</t>
        </is>
      </c>
      <c r="B10" s="7" t="n">
        <v>0</v>
      </c>
    </row>
    <row r="11">
      <c r="A11" s="6" t="inlineStr">
        <is>
          <t>Devoluciones $</t>
        </is>
      </c>
      <c r="B11" s="8" t="n">
        <v>0</v>
      </c>
    </row>
    <row r="12">
      <c r="A12" s="6" t="inlineStr">
        <is>
          <t>NET (sin IVA)</t>
        </is>
      </c>
      <c r="B12" s="8" t="n">
        <v>68705.50999999999</v>
      </c>
    </row>
    <row r="13">
      <c r="A13" s="6" t="inlineStr">
        <is>
          <t>NET (post IVA)</t>
        </is>
      </c>
      <c r="B13" s="8" t="n">
        <v>54766.75137931035</v>
      </c>
    </row>
    <row r="14">
      <c r="A14" s="6" t="inlineStr">
        <is>
          <t>Margen %</t>
        </is>
      </c>
      <c r="B14" s="9" t="n">
        <v>0.6798756135212159</v>
      </c>
    </row>
    <row r="16">
      <c r="A16" s="10" t="inlineStr">
        <is>
          <t>📊 POR CUENTA</t>
        </is>
      </c>
    </row>
    <row r="17">
      <c r="A17" s="1" t="inlineStr">
        <is>
          <t>Cuenta</t>
        </is>
      </c>
      <c r="B17" s="1" t="inlineStr">
        <is>
          <t>Nickname</t>
        </is>
      </c>
      <c r="C17" s="1" t="inlineStr">
        <is>
          <t>Órdenes</t>
        </is>
      </c>
      <c r="D17" s="1" t="inlineStr">
        <is>
          <t>Unidades</t>
        </is>
      </c>
      <c r="E17" s="1" t="inlineStr">
        <is>
          <t>Bruto</t>
        </is>
      </c>
      <c r="F17" s="1" t="inlineStr">
        <is>
          <t>Comisión</t>
        </is>
      </c>
      <c r="G17" s="1" t="inlineStr">
        <is>
          <t>Envío</t>
        </is>
      </c>
      <c r="H17" s="1" t="inlineStr">
        <is>
          <t>IVA</t>
        </is>
      </c>
      <c r="I17" s="1" t="inlineStr">
        <is>
          <t>Devol $</t>
        </is>
      </c>
      <c r="J17" s="1" t="inlineStr">
        <is>
          <t>NET</t>
        </is>
      </c>
      <c r="K17" s="1" t="inlineStr">
        <is>
          <t>Margen</t>
        </is>
      </c>
    </row>
    <row r="18">
      <c r="A18" s="6" t="inlineStr">
        <is>
          <t>JUAN</t>
        </is>
      </c>
      <c r="B18" t="inlineStr">
        <is>
          <t>HFCBHDGAE33468</t>
        </is>
      </c>
      <c r="C18" s="2" t="n">
        <v>136</v>
      </c>
      <c r="D18" s="2" t="n">
        <v>137</v>
      </c>
      <c r="E18" s="3" t="n">
        <v>71673</v>
      </c>
      <c r="F18" s="3" t="n">
        <v>10039.88</v>
      </c>
      <c r="G18" s="3" t="n">
        <v>14560.5</v>
      </c>
      <c r="H18" s="3" t="n">
        <v>9885.931034482754</v>
      </c>
      <c r="I18" s="3" t="n">
        <v>0</v>
      </c>
      <c r="J18" s="3">
        <f>E18-F18-G18</f>
        <v/>
      </c>
      <c r="K18" s="4">
        <f>IFERROR(J18/E18,0)</f>
        <v/>
      </c>
    </row>
    <row r="19">
      <c r="A19" s="6" t="inlineStr">
        <is>
          <t>CLARIBEL</t>
        </is>
      </c>
      <c r="B19" t="inlineStr">
        <is>
          <t>CX20260420180750</t>
        </is>
      </c>
      <c r="C19" s="2" t="n">
        <v>38</v>
      </c>
      <c r="D19" s="2" t="n">
        <v>38</v>
      </c>
      <c r="E19" s="3" t="n">
        <v>24604</v>
      </c>
      <c r="F19" s="3" t="n">
        <v>3187.81</v>
      </c>
      <c r="G19" s="3" t="n">
        <v>2444.5</v>
      </c>
      <c r="H19" s="3" t="n">
        <v>3393.65517241379</v>
      </c>
      <c r="I19" s="3" t="n">
        <v>0</v>
      </c>
      <c r="J19" s="3">
        <f>E19-F19-G19</f>
        <v/>
      </c>
      <c r="K19" s="4">
        <f>IFERROR(J19/E19,0)</f>
        <v/>
      </c>
    </row>
    <row r="20">
      <c r="A20" s="6" t="inlineStr">
        <is>
          <t>ASVA</t>
        </is>
      </c>
      <c r="B20" t="inlineStr">
        <is>
          <t>ASVAELECTRONICS</t>
        </is>
      </c>
      <c r="C20" s="2" t="n">
        <v>18</v>
      </c>
      <c r="D20" s="2" t="n">
        <v>18</v>
      </c>
      <c r="E20" s="3" t="n">
        <v>3882</v>
      </c>
      <c r="F20" s="3" t="n">
        <v>915.3000000000003</v>
      </c>
      <c r="G20" s="3" t="n">
        <v>412.8000000000001</v>
      </c>
      <c r="H20" s="3" t="n">
        <v>535.4482758620688</v>
      </c>
      <c r="I20" s="3" t="n">
        <v>0</v>
      </c>
      <c r="J20" s="3">
        <f>E20-F20-G20</f>
        <v/>
      </c>
      <c r="K20" s="4">
        <f>IFERROR(J20/E20,0)</f>
        <v/>
      </c>
    </row>
    <row r="21">
      <c r="A21" s="6" t="inlineStr">
        <is>
          <t>RAYMUNDO</t>
        </is>
      </c>
      <c r="B21" t="inlineStr">
        <is>
          <t>RG20260415180857</t>
        </is>
      </c>
      <c r="C21" s="2" t="n">
        <v>3</v>
      </c>
      <c r="D21" s="2" t="n">
        <v>3</v>
      </c>
      <c r="E21" s="3" t="n">
        <v>897</v>
      </c>
      <c r="F21" s="3" t="n">
        <v>89.69999999999999</v>
      </c>
      <c r="G21" s="3" t="n">
        <v>700</v>
      </c>
      <c r="H21" s="3" t="n">
        <v>123.7241379310344</v>
      </c>
      <c r="I21" s="3" t="n">
        <v>0</v>
      </c>
      <c r="J21" s="3">
        <f>E21-F21-G21</f>
        <v/>
      </c>
      <c r="K21" s="4">
        <f>IFERROR(J21/E21,0)</f>
        <v/>
      </c>
    </row>
    <row r="24">
      <c r="A24" s="10" t="inlineStr">
        <is>
          <t>🎵 BOCINAS POR MODELO</t>
        </is>
      </c>
    </row>
    <row r="25">
      <c r="A25" s="1" t="inlineStr">
        <is>
          <t>Modelo</t>
        </is>
      </c>
      <c r="B25" s="1" t="inlineStr">
        <is>
          <t>Categoría</t>
        </is>
      </c>
      <c r="C25" s="1" t="inlineStr">
        <is>
          <t>Unidades</t>
        </is>
      </c>
      <c r="D25" s="1" t="inlineStr">
        <is>
          <t>Revenue</t>
        </is>
      </c>
      <c r="E25" s="1" t="inlineStr">
        <is>
          <t>% Total</t>
        </is>
      </c>
    </row>
    <row r="26">
      <c r="A26" t="inlineStr">
        <is>
          <t>JBL Go 4</t>
        </is>
      </c>
      <c r="B26" t="inlineStr">
        <is>
          <t>Bocina</t>
        </is>
      </c>
      <c r="C26" s="2" t="n">
        <v>124</v>
      </c>
      <c r="D26" s="3" t="n">
        <v>66180</v>
      </c>
      <c r="E26" s="4">
        <f>IFERROR(D26/101056,0)</f>
        <v/>
      </c>
    </row>
    <row r="27">
      <c r="A27" t="inlineStr">
        <is>
          <t>JBL Flip 7</t>
        </is>
      </c>
      <c r="B27" t="inlineStr">
        <is>
          <t>Bocina</t>
        </is>
      </c>
      <c r="C27" s="2" t="n">
        <v>15</v>
      </c>
      <c r="D27" s="3" t="n">
        <v>11485</v>
      </c>
      <c r="E27" s="4">
        <f>IFERROR(D27/101056,0)</f>
        <v/>
      </c>
    </row>
    <row r="28">
      <c r="A28" t="inlineStr">
        <is>
          <t>JBL Charge 6</t>
        </is>
      </c>
      <c r="B28" t="inlineStr">
        <is>
          <t>Bocina</t>
        </is>
      </c>
      <c r="C28" s="2" t="n">
        <v>15</v>
      </c>
      <c r="D28" s="3" t="n">
        <v>7935</v>
      </c>
      <c r="E28" s="4">
        <f>IFERROR(D28/101056,0)</f>
        <v/>
      </c>
    </row>
    <row r="29">
      <c r="A29" t="inlineStr">
        <is>
          <t>JBL Grip</t>
        </is>
      </c>
      <c r="B29" t="inlineStr">
        <is>
          <t>Bocina</t>
        </is>
      </c>
      <c r="C29" s="2" t="n">
        <v>6</v>
      </c>
      <c r="D29" s="3" t="n">
        <v>3738</v>
      </c>
      <c r="E29" s="4">
        <f>IFERROR(D29/101056,0)</f>
        <v/>
      </c>
    </row>
    <row r="30">
      <c r="A30" t="inlineStr">
        <is>
          <t>JBL Clip 5</t>
        </is>
      </c>
      <c r="B30" t="inlineStr">
        <is>
          <t>Bocina</t>
        </is>
      </c>
      <c r="C30" s="2" t="n">
        <v>6</v>
      </c>
      <c r="D30" s="3" t="n">
        <v>1894</v>
      </c>
      <c r="E30" s="4">
        <f>IFERROR(D30/101056,0)</f>
        <v/>
      </c>
    </row>
    <row r="33">
      <c r="A33" s="10" t="inlineStr">
        <is>
          <t>🌸 PERFUMES POR MARCA</t>
        </is>
      </c>
    </row>
    <row r="34">
      <c r="A34" s="1" t="inlineStr">
        <is>
          <t>Modelo</t>
        </is>
      </c>
      <c r="B34" s="1" t="inlineStr">
        <is>
          <t>Categoría</t>
        </is>
      </c>
      <c r="C34" s="1" t="inlineStr">
        <is>
          <t>Unidades</t>
        </is>
      </c>
      <c r="D34" s="1" t="inlineStr">
        <is>
          <t>Revenue</t>
        </is>
      </c>
      <c r="E34" s="1" t="inlineStr">
        <is>
          <t>% Total</t>
        </is>
      </c>
    </row>
    <row r="35">
      <c r="A35" t="inlineStr">
        <is>
          <t>Armaf Delight</t>
        </is>
      </c>
      <c r="B35" t="inlineStr">
        <is>
          <t>Perfume</t>
        </is>
      </c>
      <c r="C35" s="2" t="n">
        <v>5</v>
      </c>
      <c r="D35" s="3" t="n">
        <v>2109</v>
      </c>
      <c r="E35" s="4">
        <f>IFERROR(D35/101056,0)</f>
        <v/>
      </c>
    </row>
    <row r="36">
      <c r="A36" t="inlineStr">
        <is>
          <t>Mugler/Angel</t>
        </is>
      </c>
      <c r="B36" t="inlineStr">
        <is>
          <t>Perfume</t>
        </is>
      </c>
      <c r="C36" s="2" t="n">
        <v>1</v>
      </c>
      <c r="D36" s="3" t="n">
        <v>1743</v>
      </c>
      <c r="E36" s="4">
        <f>IFERROR(D36/101056,0)</f>
        <v/>
      </c>
    </row>
    <row r="37">
      <c r="A37" t="inlineStr">
        <is>
          <t>Armaf Odyssey</t>
        </is>
      </c>
      <c r="B37" t="inlineStr">
        <is>
          <t>Perfume</t>
        </is>
      </c>
      <c r="C37" s="2" t="n">
        <v>4</v>
      </c>
      <c r="D37" s="3" t="n">
        <v>1196</v>
      </c>
      <c r="E37" s="4">
        <f>IFERROR(D37/101056,0)</f>
        <v/>
      </c>
    </row>
    <row r="38">
      <c r="A38" t="inlineStr">
        <is>
          <t>Armaf Club De Nuit</t>
        </is>
      </c>
      <c r="B38" t="inlineStr">
        <is>
          <t>Perfume</t>
        </is>
      </c>
      <c r="C38" s="2" t="n">
        <v>1</v>
      </c>
      <c r="D38" s="3" t="n">
        <v>499</v>
      </c>
      <c r="E38" s="4">
        <f>IFERROR(D38/101056,0)</f>
        <v/>
      </c>
    </row>
    <row r="39">
      <c r="A39" t="inlineStr">
        <is>
          <t>Lattafa</t>
        </is>
      </c>
      <c r="B39" t="inlineStr">
        <is>
          <t>Perfume</t>
        </is>
      </c>
      <c r="C39" s="2" t="n">
        <v>1</v>
      </c>
      <c r="D39" s="3" t="n">
        <v>395</v>
      </c>
      <c r="E39" s="4">
        <f>IFERROR(D39/101056,0)</f>
        <v/>
      </c>
    </row>
    <row r="42">
      <c r="A42" s="10" t="inlineStr">
        <is>
          <t>🎧 OTROS PRODUCTOS</t>
        </is>
      </c>
    </row>
    <row r="43">
      <c r="A43" s="1" t="inlineStr">
        <is>
          <t>Modelo</t>
        </is>
      </c>
      <c r="B43" s="1" t="inlineStr">
        <is>
          <t>Categoría</t>
        </is>
      </c>
      <c r="C43" s="1" t="inlineStr">
        <is>
          <t>Unidades</t>
        </is>
      </c>
      <c r="D43" s="1" t="inlineStr">
        <is>
          <t>Revenue</t>
        </is>
      </c>
      <c r="E43" s="1" t="inlineStr">
        <is>
          <t>% Total</t>
        </is>
      </c>
    </row>
    <row r="44">
      <c r="A44" t="inlineStr">
        <is>
          <t>Conjunto Deportivo Animal Prin</t>
        </is>
      </c>
      <c r="B44" t="inlineStr">
        <is>
          <t>Otro</t>
        </is>
      </c>
      <c r="C44" s="2" t="n">
        <v>16</v>
      </c>
      <c r="D44" s="3" t="n">
        <v>3384</v>
      </c>
      <c r="E44" s="4">
        <f>IFERROR(D44/101056,0)</f>
        <v/>
      </c>
    </row>
    <row r="45">
      <c r="A45" t="inlineStr">
        <is>
          <t>Conjunto Deportivo Seamless Pr</t>
        </is>
      </c>
      <c r="B45" t="inlineStr">
        <is>
          <t>Otro</t>
        </is>
      </c>
      <c r="C45" s="2" t="n">
        <v>1</v>
      </c>
      <c r="D45" s="3" t="n">
        <v>299</v>
      </c>
      <c r="E45" s="4">
        <f>IFERROR(D45/101056,0)</f>
        <v/>
      </c>
    </row>
    <row r="46">
      <c r="A46" t="inlineStr">
        <is>
          <t>Conjunto Seamless Negro Moldea</t>
        </is>
      </c>
      <c r="B46" t="inlineStr">
        <is>
          <t>Otro</t>
        </is>
      </c>
      <c r="C46" s="2" t="n">
        <v>1</v>
      </c>
      <c r="D46" s="3" t="n">
        <v>199</v>
      </c>
      <c r="E46" s="4">
        <f>IFERROR(D46/101056,0)</f>
        <v/>
      </c>
    </row>
    <row r="49">
      <c r="A49" s="11" t="inlineStr">
        <is>
          <t>↩️ DEVOLUCIONES POR MOTIVO</t>
        </is>
      </c>
    </row>
    <row r="50">
      <c r="A50" s="1" t="inlineStr">
        <is>
          <t>Motivo</t>
        </is>
      </c>
      <c r="B50" s="1" t="inlineStr">
        <is>
          <t># Devoluciones</t>
        </is>
      </c>
      <c r="C50" s="1" t="inlineStr">
        <is>
          <t>Monto Reembolsado</t>
        </is>
      </c>
      <c r="D50" s="1" t="inlineStr">
        <is>
          <t>% del Total Bruto</t>
        </is>
      </c>
    </row>
    <row r="51">
      <c r="A51" s="6" t="inlineStr">
        <is>
          <t>TOTAL</t>
        </is>
      </c>
      <c r="B51" s="2" t="n">
        <v>0</v>
      </c>
      <c r="C51" s="3" t="n">
        <v>0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2026-04-26T01:27:19Z</dcterms:created>
  <dcterms:modified xsi:type="dcterms:W3CDTF">2026-04-26T07:48:44Z</dcterms:modified>
</cp:coreProperties>
</file>